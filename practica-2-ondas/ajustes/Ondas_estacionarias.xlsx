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<sst xmlns="http://schemas.openxmlformats.org/spreadsheetml/2006/main" count="49" uniqueCount="23">
  <si>
    <t>Cuerda simple en la posición L2</t>
  </si>
  <si>
    <t>Cuerda simple en la posición L1</t>
  </si>
  <si>
    <t>L2</t>
  </si>
  <si>
    <t>38,8 cm</t>
  </si>
  <si>
    <t>ANTINODO</t>
  </si>
  <si>
    <t>Flashes per second</t>
  </si>
  <si>
    <t>T (N)</t>
  </si>
  <si>
    <t>Lambda 2</t>
  </si>
  <si>
    <t>37,6 cm</t>
  </si>
  <si>
    <t>1º</t>
  </si>
  <si>
    <t>m = 0,06g</t>
  </si>
  <si>
    <t>mu = m/l</t>
  </si>
  <si>
    <t>2º</t>
  </si>
  <si>
    <t>L =49 cm</t>
  </si>
  <si>
    <t>3º</t>
  </si>
  <si>
    <t>L1</t>
  </si>
  <si>
    <t>51,9 cm</t>
  </si>
  <si>
    <t>4º</t>
  </si>
  <si>
    <t>49,8 cm</t>
  </si>
  <si>
    <t>5º</t>
  </si>
  <si>
    <t>Cuerda doble en la posición L2</t>
  </si>
  <si>
    <t>Cuerda doble en la posición L1</t>
  </si>
  <si>
    <t>6º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</si>
</sst>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0" fontId="1" numFmtId="1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>Línea de tendencia de serie 1</c:name>
            <c:spPr>
              <a:ln w="19050">
                <a:solidFill>
                  <a:srgbClr val="000000"/>
                </a:solidFill>
              </a:ln>
            </c:spPr>
            <c:trendlineType val="linear"/>
            <c:dispRSqr val="1"/>
            <c:dispEq val="0"/>
          </c:trendline>
          <c:xVal>
            <c:numRef>
              <c:f>'Hoja 1'!$H$3:$H$7</c:f>
            </c:numRef>
          </c:xVal>
          <c:yVal>
            <c:numRef>
              <c:f>'Hoja 1'!$I$3:$I$7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2910098"/>
        <c:axId val="624253450"/>
      </c:scatterChart>
      <c:valAx>
        <c:axId val="155291009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24253450"/>
      </c:valAx>
      <c:valAx>
        <c:axId val="62425345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5291009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>Línea de tendencia de serie 1</c:name>
            <c:spPr>
              <a:ln w="19050">
                <a:solidFill>
                  <a:srgbClr val="000000"/>
                </a:solidFill>
              </a:ln>
            </c:spPr>
            <c:trendlineType val="linear"/>
            <c:dispRSqr val="1"/>
            <c:dispEq val="0"/>
          </c:trendline>
          <c:xVal>
            <c:numRef>
              <c:f>'Hoja 1'!$H$12:$H$17</c:f>
            </c:numRef>
          </c:xVal>
          <c:yVal>
            <c:numRef>
              <c:f>'Hoja 1'!$I$12:$I$16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6912946"/>
        <c:axId val="932986082"/>
      </c:scatterChart>
      <c:valAx>
        <c:axId val="67691294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32986082"/>
      </c:valAx>
      <c:valAx>
        <c:axId val="93298608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7691294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>Línea de tendencia de serie 1</c:name>
            <c:spPr>
              <a:ln w="19050">
                <a:solidFill>
                  <a:srgbClr val="000000"/>
                </a:solidFill>
              </a:ln>
            </c:spPr>
            <c:trendlineType val="linear"/>
            <c:dispRSqr val="1"/>
            <c:dispEq val="0"/>
          </c:trendline>
          <c:xVal>
            <c:numRef>
              <c:f>'Hoja 1'!$O$3:$O$7</c:f>
            </c:numRef>
          </c:xVal>
          <c:yVal>
            <c:numRef>
              <c:f>'Hoja 1'!$P$3:$P$7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8549568"/>
        <c:axId val="52288460"/>
      </c:scatterChart>
      <c:valAx>
        <c:axId val="148854956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2288460"/>
      </c:valAx>
      <c:valAx>
        <c:axId val="5228846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8854956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>Línea de tendencia de serie 1</c:name>
            <c:spPr>
              <a:ln w="19050">
                <a:solidFill>
                  <a:srgbClr val="000000"/>
                </a:solidFill>
              </a:ln>
            </c:spPr>
            <c:trendlineType val="linear"/>
            <c:dispRSqr val="1"/>
            <c:dispEq val="0"/>
          </c:trendline>
          <c:xVal>
            <c:numRef>
              <c:f>'Hoja 1'!$O$12:$O$16</c:f>
            </c:numRef>
          </c:xVal>
          <c:yVal>
            <c:numRef>
              <c:f>'Hoja 1'!$P$12:$P$16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4744005"/>
        <c:axId val="132678525"/>
      </c:scatterChart>
      <c:valAx>
        <c:axId val="108474400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2678525"/>
      </c:valAx>
      <c:valAx>
        <c:axId val="13267852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8474400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609600</xdr:colOff>
      <xdr:row>24</xdr:row>
      <xdr:rowOff>104775</xdr:rowOff>
    </xdr:from>
    <xdr:ext cx="5200650" cy="3257550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200025</xdr:colOff>
      <xdr:row>24</xdr:row>
      <xdr:rowOff>0</xdr:rowOff>
    </xdr:from>
    <xdr:ext cx="5534025" cy="34575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15</xdr:col>
      <xdr:colOff>742950</xdr:colOff>
      <xdr:row>24</xdr:row>
      <xdr:rowOff>0</xdr:rowOff>
    </xdr:from>
    <xdr:ext cx="5600700" cy="345757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22</xdr:col>
      <xdr:colOff>390525</xdr:colOff>
      <xdr:row>24</xdr:row>
      <xdr:rowOff>76200</xdr:rowOff>
    </xdr:from>
    <xdr:ext cx="5353050" cy="3305175"/>
    <xdr:graphicFrame>
      <xdr:nvGraphicFramePr>
        <xdr:cNvPr id="4" name="Chart 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E1" s="2" t="s">
        <v>0</v>
      </c>
      <c r="F1" s="2"/>
      <c r="H1" s="2"/>
      <c r="L1" s="2" t="s">
        <v>1</v>
      </c>
      <c r="M1" s="2"/>
      <c r="O1" s="2"/>
    </row>
    <row r="2">
      <c r="A2" s="1" t="s">
        <v>2</v>
      </c>
      <c r="B2" s="1" t="s">
        <v>3</v>
      </c>
      <c r="E2" s="2" t="s">
        <v>4</v>
      </c>
      <c r="F2" s="2" t="s">
        <v>5</v>
      </c>
      <c r="H2" s="2" t="s">
        <v>6</v>
      </c>
      <c r="I2" s="2" t="s">
        <v>7</v>
      </c>
      <c r="L2" s="2" t="s">
        <v>4</v>
      </c>
      <c r="M2" s="2" t="s">
        <v>5</v>
      </c>
      <c r="O2" s="2" t="s">
        <v>6</v>
      </c>
      <c r="P2" s="2" t="s">
        <v>7</v>
      </c>
    </row>
    <row r="3">
      <c r="A3" s="1"/>
      <c r="B3" s="1" t="s">
        <v>8</v>
      </c>
      <c r="E3" s="2" t="s">
        <v>9</v>
      </c>
      <c r="F3" s="2">
        <v>43.0</v>
      </c>
      <c r="H3" s="2">
        <v>0.15</v>
      </c>
      <c r="I3" s="3">
        <f> (1/43)^2 *(H3/S3)</f>
        <v>0.6625202812</v>
      </c>
      <c r="L3" s="2" t="s">
        <v>9</v>
      </c>
      <c r="M3" s="2">
        <v>43.0</v>
      </c>
      <c r="O3" s="2">
        <v>0.25</v>
      </c>
      <c r="P3" s="3">
        <f> (1/43)^2 *(O3/S3)</f>
        <v>1.104200469</v>
      </c>
      <c r="Q3" s="2" t="s">
        <v>10</v>
      </c>
      <c r="R3" s="2" t="s">
        <v>11</v>
      </c>
      <c r="S3" s="3">
        <f> 0.06*10^(-3)/(49*10^(-2))</f>
        <v>0.0001224489796</v>
      </c>
    </row>
    <row r="4">
      <c r="E4" s="2" t="s">
        <v>12</v>
      </c>
      <c r="F4" s="2">
        <v>43.0</v>
      </c>
      <c r="H4" s="2">
        <v>0.04</v>
      </c>
      <c r="I4" s="3">
        <f> (1/43)^2 *(H4/S3)</f>
        <v>0.176672075</v>
      </c>
      <c r="L4" s="2" t="s">
        <v>12</v>
      </c>
      <c r="M4" s="2">
        <v>43.0</v>
      </c>
      <c r="O4" s="2">
        <v>0.07</v>
      </c>
      <c r="P4" s="3">
        <f> (1/43)^2 *(O4/S3)</f>
        <v>0.3091761312</v>
      </c>
      <c r="Q4" s="2" t="s">
        <v>13</v>
      </c>
    </row>
    <row r="5">
      <c r="E5" s="2" t="s">
        <v>14</v>
      </c>
      <c r="F5" s="2">
        <v>43.0</v>
      </c>
      <c r="H5" s="2">
        <v>0.02</v>
      </c>
      <c r="I5" s="3">
        <f> (1/43)^2 *(H5/S3)</f>
        <v>0.0883360375</v>
      </c>
      <c r="L5" s="2" t="s">
        <v>14</v>
      </c>
      <c r="M5" s="2">
        <v>43.0</v>
      </c>
      <c r="O5" s="2">
        <v>0.03</v>
      </c>
      <c r="P5" s="3">
        <f> (1/43)^2 *(O5/S3)</f>
        <v>0.1325040562</v>
      </c>
    </row>
    <row r="6">
      <c r="A6" s="2" t="s">
        <v>15</v>
      </c>
      <c r="B6" s="2" t="s">
        <v>16</v>
      </c>
      <c r="E6" s="2" t="s">
        <v>17</v>
      </c>
      <c r="F6" s="2">
        <v>43.0</v>
      </c>
      <c r="H6" s="2">
        <v>0.01</v>
      </c>
      <c r="I6" s="3">
        <f> (1/43)^2 *(H6/S3)</f>
        <v>0.04416801875</v>
      </c>
      <c r="L6" s="2" t="s">
        <v>17</v>
      </c>
      <c r="M6" s="2">
        <v>43.0</v>
      </c>
      <c r="O6" s="2">
        <v>0.008</v>
      </c>
      <c r="P6" s="3">
        <f> (1/43)^2 *(O6/S3)</f>
        <v>0.035334415</v>
      </c>
    </row>
    <row r="7">
      <c r="B7" s="2" t="s">
        <v>18</v>
      </c>
      <c r="E7" s="2" t="s">
        <v>19</v>
      </c>
      <c r="F7" s="2">
        <v>44.0</v>
      </c>
      <c r="H7" s="2">
        <v>0.006</v>
      </c>
      <c r="I7" s="3">
        <f> (1/43)^2 *(H7/S3)</f>
        <v>0.02650081125</v>
      </c>
      <c r="L7" s="2" t="s">
        <v>19</v>
      </c>
      <c r="M7" s="2">
        <v>44.0</v>
      </c>
      <c r="O7" s="2">
        <v>0.002</v>
      </c>
      <c r="P7" s="3">
        <f> (1/43)^2 *(O7/S3)</f>
        <v>0.00883360375</v>
      </c>
    </row>
    <row r="10">
      <c r="E10" s="2" t="s">
        <v>20</v>
      </c>
      <c r="L10" s="2" t="s">
        <v>21</v>
      </c>
    </row>
    <row r="11">
      <c r="A11" s="2">
        <v>0.15</v>
      </c>
      <c r="B11" s="3">
        <v>0.6625202812330989</v>
      </c>
      <c r="E11" s="2" t="s">
        <v>4</v>
      </c>
      <c r="F11" s="2" t="s">
        <v>5</v>
      </c>
      <c r="H11" s="2" t="s">
        <v>6</v>
      </c>
      <c r="I11" s="2" t="s">
        <v>7</v>
      </c>
      <c r="L11" s="2" t="s">
        <v>4</v>
      </c>
      <c r="M11" s="2" t="s">
        <v>5</v>
      </c>
      <c r="O11" s="2" t="s">
        <v>6</v>
      </c>
    </row>
    <row r="12">
      <c r="A12" s="2">
        <v>0.04</v>
      </c>
      <c r="B12" s="3">
        <v>0.17667207499549303</v>
      </c>
      <c r="E12" s="2" t="s">
        <v>9</v>
      </c>
      <c r="F12" s="2">
        <v>43.0</v>
      </c>
      <c r="H12" s="2">
        <v>0.29</v>
      </c>
      <c r="I12" s="3">
        <f> (1/43)^2 *(H12/(2*S3))</f>
        <v>0.6404362719</v>
      </c>
      <c r="L12" s="2" t="s">
        <v>9</v>
      </c>
      <c r="M12" s="2">
        <v>43.0</v>
      </c>
      <c r="O12" s="2">
        <v>0.5</v>
      </c>
      <c r="P12" s="3">
        <f> (1/43)^2 *(O12/(2*S3))</f>
        <v>1.104200469</v>
      </c>
    </row>
    <row r="13">
      <c r="A13" s="2">
        <v>0.02</v>
      </c>
      <c r="B13" s="3">
        <v>0.08833603749774652</v>
      </c>
      <c r="E13" s="2" t="s">
        <v>12</v>
      </c>
      <c r="F13" s="2">
        <v>43.0</v>
      </c>
      <c r="H13" s="2">
        <v>0.08</v>
      </c>
      <c r="I13" s="3">
        <f> (1/43)^2 *(H13/(2*S3))</f>
        <v>0.176672075</v>
      </c>
      <c r="L13" s="2" t="s">
        <v>12</v>
      </c>
      <c r="M13" s="2">
        <v>43.0</v>
      </c>
      <c r="O13" s="2">
        <v>0.14</v>
      </c>
      <c r="P13" s="3">
        <f> (1/43)^2 *(O13/(2*S3))</f>
        <v>0.3091761312</v>
      </c>
    </row>
    <row r="14">
      <c r="A14" s="2">
        <v>0.01</v>
      </c>
      <c r="B14" s="3">
        <v>0.04416801874887326</v>
      </c>
      <c r="E14" s="2" t="s">
        <v>14</v>
      </c>
      <c r="F14" s="2">
        <v>43.0</v>
      </c>
      <c r="H14" s="2">
        <v>0.04</v>
      </c>
      <c r="I14" s="3">
        <f> (1/43)^2 *(H14/(2*S3))</f>
        <v>0.0883360375</v>
      </c>
      <c r="L14" s="2" t="s">
        <v>14</v>
      </c>
      <c r="M14" s="2">
        <v>43.0</v>
      </c>
      <c r="O14" s="2">
        <v>0.06</v>
      </c>
      <c r="P14" s="3">
        <f> (1/43)^2 *(O14/(2*S3))</f>
        <v>0.1325040562</v>
      </c>
    </row>
    <row r="15">
      <c r="A15" s="2">
        <v>0.006</v>
      </c>
      <c r="B15" s="3">
        <v>0.026500811249323956</v>
      </c>
      <c r="E15" s="2" t="s">
        <v>17</v>
      </c>
      <c r="F15" s="2">
        <v>43.0</v>
      </c>
      <c r="H15" s="2">
        <v>0.02</v>
      </c>
      <c r="I15" s="3">
        <f> (1/43)^2 *(H15/(2*S3))</f>
        <v>0.04416801875</v>
      </c>
      <c r="L15" s="2" t="s">
        <v>17</v>
      </c>
      <c r="M15" s="2">
        <v>43.0</v>
      </c>
      <c r="O15" s="2">
        <v>0.017</v>
      </c>
      <c r="P15" s="3">
        <f> (1/43)^2 *(O15/(2*S3))</f>
        <v>0.03754281594</v>
      </c>
    </row>
    <row r="16">
      <c r="E16" s="2" t="s">
        <v>19</v>
      </c>
      <c r="F16" s="2">
        <v>43.0</v>
      </c>
      <c r="H16" s="2">
        <v>0.014</v>
      </c>
      <c r="I16" s="3">
        <f> (1/43)^2 *(H16/(2*S3))</f>
        <v>0.03091761312</v>
      </c>
      <c r="L16" s="2" t="s">
        <v>19</v>
      </c>
      <c r="M16" s="2">
        <v>43.0</v>
      </c>
      <c r="O16" s="2">
        <v>0.013</v>
      </c>
      <c r="P16" s="3">
        <f> (1/43)^2 *(O16/(2*S3))</f>
        <v>0.02870921219</v>
      </c>
    </row>
    <row r="17">
      <c r="E17" s="2" t="s">
        <v>22</v>
      </c>
      <c r="F17" s="2">
        <v>44.0</v>
      </c>
      <c r="H17" s="2">
        <v>0.01</v>
      </c>
      <c r="I17" s="3">
        <f> (1/43)^2 *(H17/(2*S3))</f>
        <v>0.02208400937</v>
      </c>
    </row>
  </sheetData>
  <drawing r:id="rId1"/>
</worksheet>
</file>