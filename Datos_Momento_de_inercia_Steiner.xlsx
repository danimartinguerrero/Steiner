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Result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<sst xmlns="http://schemas.openxmlformats.org/spreadsheetml/2006/main" count="152" uniqueCount="117">
  <si>
    <t xml:space="preserve">PARTE 1: DETERMINACIÓN DE D</t>
  </si>
  <si>
    <t xml:space="preserve">Incertidumbre</t>
  </si>
  <si>
    <t xml:space="preserve">0,1 g</t>
  </si>
  <si>
    <t xml:space="preserve">Masa cilindro 1</t>
  </si>
  <si>
    <t xml:space="preserve">238,3 g</t>
  </si>
  <si>
    <t xml:space="preserve">h = 3,32 cm</t>
  </si>
  <si>
    <t xml:space="preserve">d = 3,53 cm</t>
  </si>
  <si>
    <t xml:space="preserve">PERIODO TRAS CINCO OSCILACIONES (seg)</t>
  </si>
  <si>
    <t xml:space="preserve">Medias</t>
  </si>
  <si>
    <t xml:space="preserve">Periodo</t>
  </si>
  <si>
    <t xml:space="preserve">Desviación muestral s</t>
  </si>
  <si>
    <t xml:space="preserve">u_(A) = s/(3)^1/2</t>
  </si>
  <si>
    <t xml:space="preserve">u (tn)</t>
  </si>
  <si>
    <t xml:space="preserve">u (T) = u(tn) / n</t>
  </si>
  <si>
    <t xml:space="preserve">u (T^2) = 2 T u(T)</t>
  </si>
  <si>
    <t xml:space="preserve">Posición simétrica de los cilindros</t>
  </si>
  <si>
    <t xml:space="preserve">Medida (cm)</t>
  </si>
  <si>
    <t xml:space="preserve">T^2</t>
  </si>
  <si>
    <t xml:space="preserve">R^2</t>
  </si>
  <si>
    <t xml:space="preserve">R^2 (m^2)</t>
  </si>
  <si>
    <t xml:space="preserve">Masa cilindro 2</t>
  </si>
  <si>
    <t xml:space="preserve">238,1 g</t>
  </si>
  <si>
    <t xml:space="preserve">Masa barra</t>
  </si>
  <si>
    <t xml:space="preserve">131,1 g</t>
  </si>
  <si>
    <t xml:space="preserve">Masa esfera</t>
  </si>
  <si>
    <t xml:space="preserve">948,1 g</t>
  </si>
  <si>
    <t xml:space="preserve">P = 46,0 cm (perímetro, cinta métrica)</t>
  </si>
  <si>
    <t xml:space="preserve">D = P/π = 14,64 cm</t>
  </si>
  <si>
    <t xml:space="preserve">Masa cilindro hueco</t>
  </si>
  <si>
    <t xml:space="preserve">399,5 g</t>
  </si>
  <si>
    <t xml:space="preserve">h = 9,05 cm</t>
  </si>
  <si>
    <t xml:space="preserve">d = 9,03 cm</t>
  </si>
  <si>
    <t xml:space="preserve">Masa cilindro macizo</t>
  </si>
  <si>
    <t xml:space="preserve">340,8 g</t>
  </si>
  <si>
    <t xml:space="preserve">h = 9,09 cm</t>
  </si>
  <si>
    <t xml:space="preserve">d = 8,94 cm</t>
  </si>
  <si>
    <t xml:space="preserve">Masa soporte (cilindro)</t>
  </si>
  <si>
    <t xml:space="preserve">134,7 g</t>
  </si>
  <si>
    <t xml:space="preserve">d 9,99 cm</t>
  </si>
  <si>
    <t xml:space="preserve">Longitud barra</t>
  </si>
  <si>
    <t xml:space="preserve">60,0 cm</t>
  </si>
  <si>
    <t xml:space="preserve">Resolución pie de rey</t>
  </si>
  <si>
    <t xml:space="preserve">0,1 mm</t>
  </si>
  <si>
    <t xml:space="preserve">PARTE 2: PERIODO DE OSCILACIÓN DEL DISCO PERFORADO (ETIQUETA HACIA FUERA)</t>
  </si>
  <si>
    <t xml:space="preserve">Posición (cm)</t>
  </si>
  <si>
    <t xml:space="preserve">r^2 (cm^2)</t>
  </si>
  <si>
    <t xml:space="preserve">r^2 (m^2)</t>
  </si>
  <si>
    <t xml:space="preserve">0 (posición central)</t>
  </si>
  <si>
    <t xml:space="preserve">4 (posición 1 hacia nosotros)</t>
  </si>
  <si>
    <t xml:space="preserve">8 (posición 2 hacia nosotros)</t>
  </si>
  <si>
    <t xml:space="preserve">12 (posición 3 hacia nosotros)</t>
  </si>
  <si>
    <t xml:space="preserve">16 (posición 4 hacia nosotros)</t>
  </si>
  <si>
    <t xml:space="preserve">(*** Invertimos la placa ***)</t>
  </si>
  <si>
    <t xml:space="preserve">- 2 (posición central) </t>
  </si>
  <si>
    <t xml:space="preserve">- 4 (posición 1 hacia nosotros)</t>
  </si>
  <si>
    <t xml:space="preserve">- 8 (posición 2 hacia nosotros)</t>
  </si>
  <si>
    <t xml:space="preserve">- 12 (posición 3 hacia nosotros)</t>
  </si>
  <si>
    <t xml:space="preserve">- 16 (posición 4 hacia nosotros)</t>
  </si>
  <si>
    <t xml:space="preserve">PARTE 3: MEDIDAS ESFERA, CILINDRO HUECO, CILINDRO MACIZO</t>
  </si>
  <si>
    <t xml:space="preserve">ELEMENTO/S EMPLEADO/S</t>
  </si>
  <si>
    <t xml:space="preserve">I_din (kg m^2)</t>
  </si>
  <si>
    <t xml:space="preserve">u(I_din) (kg m^2)</t>
  </si>
  <si>
    <t xml:space="preserve">SOPORTE</t>
  </si>
  <si>
    <t xml:space="preserve">SOPORTE + CILINDRO HUECO</t>
  </si>
  <si>
    <t xml:space="preserve">SOPORTE + CILINDRO MACIZO</t>
  </si>
  <si>
    <t xml:space="preserve">ESFERA</t>
  </si>
  <si>
    <t xml:space="preserve">Nota: los cilindros se midieron sobre el soporte, por lo que I_din = D (T^2 - T_s^2) / 4π^2; la esfera, directamente sobre el eje.</t>
  </si>
  <si>
    <t xml:space="preserve">Celdas en amarillo: corregidas o añadidas. Corrección principal: en la parte 2, T^2 se calculaba como el cuadrado de la media de t_5 (columna B) en lugar del cuadrado del periodo (columna C).</t>
  </si>
  <si>
    <t xml:space="preserve">Práctica 1 · Momento de inercia. Teorema de Steiner — resultados</t>
  </si>
  <si>
    <t xml:space="preserve">Unidades SI. Incertidumbres típicas u; ampliadas U = t·u al 95 %. Ajustes por mínimos cuadrados ordinarios (sin ponderar).</t>
  </si>
  <si>
    <t xml:space="preserve">PARTE 1 · Constante de torsión D</t>
  </si>
  <si>
    <t xml:space="preserve">T^2 (s^2)</t>
  </si>
  <si>
    <t xml:space="preserve">u(T^2) (s^2)</t>
  </si>
  <si>
    <t xml:space="preserve">Pendiente a (s^2/m^2)</t>
  </si>
  <si>
    <t xml:space="preserve">u(a)</t>
  </si>
  <si>
    <t xml:space="preserve">Ordenada b (s^2)</t>
  </si>
  <si>
    <t xml:space="preserve">u(b)</t>
  </si>
  <si>
    <t xml:space="preserve">D = 8π² m_c / a (N m/rad)</t>
  </si>
  <si>
    <t xml:space="preserve">m_c = media de los dos cilindros</t>
  </si>
  <si>
    <t xml:space="preserve">u(D)</t>
  </si>
  <si>
    <t xml:space="preserve">t(95 %, ν = N−2 = 4)</t>
  </si>
  <si>
    <t xml:space="preserve">U(D) = t·u(D)</t>
  </si>
  <si>
    <t xml:space="preserve">Coeficiente de correlación r</t>
  </si>
  <si>
    <t xml:space="preserve">m_c media (kg)</t>
  </si>
  <si>
    <t xml:space="preserve">u(m_c) (kg)</t>
  </si>
  <si>
    <t xml:space="preserve">I_b = m_b L^2 / 12 (kg m^2)</t>
  </si>
  <si>
    <t xml:space="preserve">u(I_b)</t>
  </si>
  <si>
    <t xml:space="preserve">u(m_b) = 0,1 g; u(L) = 1 mm</t>
  </si>
  <si>
    <t xml:space="preserve">I_c (m_c media) = m_c (d²/16 + h²/12)</t>
  </si>
  <si>
    <t xml:space="preserve">u(I_c)</t>
  </si>
  <si>
    <t xml:space="preserve">u(d) = u(h) = 0,1 mm (pie de rey)</t>
  </si>
  <si>
    <t xml:space="preserve">Ordenada teórica 4π²(I_b + 2 I_c)/D (s^2)</t>
  </si>
  <si>
    <t xml:space="preserve">PARTE 2 · Teorema de Steiner (disco perforado)</t>
  </si>
  <si>
    <t xml:space="preserve">r^2 (m^2) serie 1</t>
  </si>
  <si>
    <t xml:space="preserve">T^2 serie 1</t>
  </si>
  <si>
    <t xml:space="preserve">r^2 (m^2) serie 2</t>
  </si>
  <si>
    <t xml:space="preserve">T^2 serie 2</t>
  </si>
  <si>
    <t xml:space="preserve">Serie 1 (r ≥ 0)</t>
  </si>
  <si>
    <t xml:space="preserve">Serie 2 (r &lt; 0)</t>
  </si>
  <si>
    <t xml:space="preserve">t(95 %, ν = 3)</t>
  </si>
  <si>
    <t xml:space="preserve">U(a)</t>
  </si>
  <si>
    <t xml:space="preserve">U(b)</t>
  </si>
  <si>
    <t xml:space="preserve">Masa m = D a / 4π² (kg)</t>
  </si>
  <si>
    <t xml:space="preserve">U(m)</t>
  </si>
  <si>
    <t xml:space="preserve">I_CM = D b / 4π² (kg m^2)</t>
  </si>
  <si>
    <t xml:space="preserve">U(I_CM)</t>
  </si>
  <si>
    <t xml:space="preserve">PARTE 3 · Momentos de inercia de los sólidos</t>
  </si>
  <si>
    <t xml:space="preserve">Sólido</t>
  </si>
  <si>
    <t xml:space="preserve">u(I_din)</t>
  </si>
  <si>
    <t xml:space="preserve">I_geo (kg m^2)</t>
  </si>
  <si>
    <t xml:space="preserve">u(I_geo)</t>
  </si>
  <si>
    <t xml:space="preserve">I_din − I_geo (%)</t>
  </si>
  <si>
    <t xml:space="preserve">Soporte</t>
  </si>
  <si>
    <t xml:space="preserve">Cilindro hueco (MR², pared delgada)</t>
  </si>
  <si>
    <t xml:space="preserve">Cilindro macizo (½MR²)</t>
  </si>
  <si>
    <t xml:space="preserve">Esfera (2/5 MR², R = P/2π)</t>
  </si>
  <si>
    <t xml:space="preserve">U(I_din) = 4,30·u (ν_eff ≈ 2, Welch–Satterthwaite); U(I_geo) = 1,96·u (magnitudes evaluadas por su resolución).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</si>
</sst>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0.000"/>
    <numFmt numFmtId="167" formatCode="0.000E+00"/>
    <numFmt numFmtId="168" formatCode="0.00E+00"/>
    <numFmt numFmtId="169" formatCode="0.00"/>
    <numFmt numFmtId="170" formatCode="0.000000"/>
    <numFmt numFmtId="171" formatCode="0.00000"/>
    <numFmt numFmtId="172" formatCode="0.000000E+00"/>
    <numFmt numFmtId="173" formatCode="0.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i val="true"/>
      <sz val="11"/>
      <color rgb="FF5B6770"/>
      <name val="Cambria"/>
      <family val="0"/>
      <charset val="1"/>
    </font>
    <font>
      <b val="true"/>
      <sz val="14"/>
      <color rgb="FF1B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FC5E8"/>
      </patternFill>
    </fill>
    <fill>
      <patternFill patternType="solid">
        <fgColor rgb="FFFFF2CC"/>
        <bgColor rgb="FFFFFFFF"/>
      </patternFill>
    </fill>
    <fill>
      <patternFill patternType="solid">
        <fgColor rgb="FF9FC5E8"/>
        <bgColor rgb="FFA4C2F4"/>
      </patternFill>
    </fill>
    <fill>
      <patternFill patternType="solid">
        <fgColor rgb="FFA4C2F4"/>
        <bgColor rgb="FF9FC5E8"/>
      </patternFill>
    </fill>
    <fill>
      <patternFill patternType="solid">
        <fgColor theme="0"/>
        <bgColor rgb="FFFFF2CC"/>
      </patternFill>
    </fill>
    <fill>
      <patternFill patternType="solid">
        <fgColor rgb="FFF4CCCC"/>
        <bgColor rgb="FFFFF2CC"/>
      </patternFill>
    </fill>
    <fill>
      <patternFill patternType="solid">
        <fgColor rgb="FF1B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4C2F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7C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B6770"/>
      <rgbColor rgb="FF93C47D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9.25"/>
    <col collapsed="false" customWidth="true" hidden="false" outlineLevel="0" max="2" min="2" style="0" width="11.63"/>
    <col collapsed="false" customWidth="true" hidden="false" outlineLevel="0" max="3" min="3" style="0" width="13.38"/>
    <col collapsed="false" customWidth="true" hidden="false" outlineLevel="0" max="4" min="4" style="0" width="17.38"/>
    <col collapsed="false" customWidth="true" hidden="false" outlineLevel="0" max="6" min="5" style="0" width="13.63"/>
    <col collapsed="false" customWidth="true" hidden="false" outlineLevel="0" max="7" min="7" style="0" width="14.75"/>
    <col collapsed="false" customWidth="true" hidden="false" outlineLevel="0" max="8" min="8" style="0" width="18.75"/>
    <col collapsed="false" customWidth="true" hidden="false" outlineLevel="0" max="9" min="9" style="0" width="29.25"/>
    <col collapsed="false" customWidth="true" hidden="false" outlineLevel="0" max="12" min="12" style="0" width="9.38"/>
    <col collapsed="false" customWidth="true" hidden="false" outlineLevel="0" max="21" min="21" style="0" width="22.13"/>
  </cols>
  <sheetData>
    <row r="1" customFormat="false" ht="15.75" hidden="false" customHeight="false" outlineLevel="0" collapsed="false"/>
    <row r="2" customFormat="false" ht="15.7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U2" s="2" t="s">
        <v>1</v>
      </c>
      <c r="V2" s="2" t="s">
        <v>2</v>
      </c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U3" s="2" t="s">
        <v>3</v>
      </c>
      <c r="V3" s="2" t="s">
        <v>4</v>
      </c>
      <c r="W3" s="2" t="s">
        <v>5</v>
      </c>
      <c r="X3" s="3" t="s">
        <v>6</v>
      </c>
    </row>
    <row r="4" customFormat="false" ht="15.75" hidden="false" customHeight="false" outlineLevel="0" collapsed="false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4" t="s">
        <v>19</v>
      </c>
      <c r="U4" s="2" t="s">
        <v>20</v>
      </c>
      <c r="V4" s="2" t="s">
        <v>21</v>
      </c>
      <c r="W4" s="2" t="s">
        <v>5</v>
      </c>
      <c r="X4" s="3" t="s">
        <v>6</v>
      </c>
    </row>
    <row r="5" customFormat="false" ht="15.75" hidden="false" customHeight="false" outlineLevel="0" collapsed="false">
      <c r="A5" s="1" t="n">
        <v>37.18</v>
      </c>
      <c r="B5" s="1"/>
      <c r="C5" s="1"/>
      <c r="D5" s="1"/>
      <c r="E5" s="1"/>
      <c r="F5" s="1"/>
      <c r="G5" s="1"/>
      <c r="H5" s="1"/>
      <c r="I5" s="1" t="n">
        <v>1</v>
      </c>
      <c r="J5" s="1" t="n">
        <v>30</v>
      </c>
      <c r="K5" s="1"/>
      <c r="L5" s="1"/>
      <c r="U5" s="2" t="s">
        <v>22</v>
      </c>
      <c r="V5" s="2" t="s">
        <v>23</v>
      </c>
    </row>
    <row r="6" customFormat="false" ht="15.75" hidden="false" customHeight="false" outlineLevel="0" collapsed="false">
      <c r="A6" s="1" t="n">
        <v>37.5</v>
      </c>
      <c r="B6" s="1"/>
      <c r="C6" s="1"/>
      <c r="D6" s="1"/>
      <c r="E6" s="1"/>
      <c r="F6" s="1"/>
      <c r="G6" s="1"/>
      <c r="H6" s="1"/>
      <c r="I6" s="1"/>
      <c r="J6" s="1" t="n">
        <v>30</v>
      </c>
      <c r="K6" s="1"/>
      <c r="L6" s="1"/>
      <c r="U6" s="2" t="s">
        <v>24</v>
      </c>
      <c r="V6" s="2" t="s">
        <v>25</v>
      </c>
      <c r="X6" s="3" t="s">
        <v>26</v>
      </c>
      <c r="Y6" s="5" t="s">
        <v>27</v>
      </c>
    </row>
    <row r="7" customFormat="false" ht="15.75" hidden="false" customHeight="false" outlineLevel="0" collapsed="false">
      <c r="A7" s="1" t="n">
        <v>37.66</v>
      </c>
      <c r="B7" s="6" t="n">
        <f aca="false">(A5+A6+A7)/3</f>
        <v>37.4466666666667</v>
      </c>
      <c r="C7" s="6" t="n">
        <f aca="false">B7/5</f>
        <v>7.48933333333333</v>
      </c>
      <c r="D7" s="6" t="n">
        <f aca="false">STDEV(A5:A7)</f>
        <v>0.24440403706431</v>
      </c>
      <c r="E7" s="6" t="n">
        <f aca="false">D7/SQRT(3)</f>
        <v>0.141106736590111</v>
      </c>
      <c r="F7" s="6" t="n">
        <f aca="false">SQRT(E7^2+0.01^2/12)</f>
        <v>0.141136261975597</v>
      </c>
      <c r="G7" s="6" t="n">
        <f aca="false">F7/5</f>
        <v>0.0282272523951193</v>
      </c>
      <c r="H7" s="6" t="n">
        <f aca="false">2*C7*G7</f>
        <v>0.422806604542361</v>
      </c>
      <c r="I7" s="1"/>
      <c r="J7" s="1" t="n">
        <v>30</v>
      </c>
      <c r="K7" s="7" t="n">
        <f aca="false">C7^2</f>
        <v>56.0901137777778</v>
      </c>
      <c r="L7" s="1" t="n">
        <f aca="false">J7^2</f>
        <v>900</v>
      </c>
      <c r="M7" s="8" t="n">
        <f aca="false">L7/10000</f>
        <v>0.09</v>
      </c>
      <c r="U7" s="2" t="s">
        <v>28</v>
      </c>
      <c r="V7" s="2" t="s">
        <v>29</v>
      </c>
      <c r="W7" s="2" t="s">
        <v>30</v>
      </c>
      <c r="X7" s="2" t="s">
        <v>31</v>
      </c>
    </row>
    <row r="8" customFormat="false" ht="15.75" hidden="false" customHeight="false" outlineLevel="0" collapsed="false">
      <c r="A8" s="1" t="n">
        <v>31.87</v>
      </c>
      <c r="B8" s="1"/>
      <c r="C8" s="1"/>
      <c r="D8" s="1"/>
      <c r="E8" s="1"/>
      <c r="F8" s="1"/>
      <c r="G8" s="1"/>
      <c r="H8" s="1"/>
      <c r="I8" s="1" t="n">
        <v>2</v>
      </c>
      <c r="J8" s="1" t="n">
        <v>25</v>
      </c>
      <c r="K8" s="1"/>
      <c r="L8" s="1"/>
      <c r="U8" s="2" t="s">
        <v>32</v>
      </c>
      <c r="V8" s="2" t="s">
        <v>33</v>
      </c>
      <c r="W8" s="2" t="s">
        <v>34</v>
      </c>
      <c r="X8" s="2" t="s">
        <v>35</v>
      </c>
    </row>
    <row r="9" customFormat="false" ht="15.75" hidden="false" customHeight="false" outlineLevel="0" collapsed="false">
      <c r="A9" s="1" t="n">
        <v>31.87</v>
      </c>
      <c r="B9" s="1"/>
      <c r="C9" s="1"/>
      <c r="D9" s="1"/>
      <c r="E9" s="1"/>
      <c r="F9" s="1"/>
      <c r="G9" s="1"/>
      <c r="H9" s="1"/>
      <c r="I9" s="1"/>
      <c r="J9" s="1" t="n">
        <v>25</v>
      </c>
      <c r="K9" s="1"/>
      <c r="L9" s="1"/>
      <c r="U9" s="2" t="s">
        <v>36</v>
      </c>
      <c r="V9" s="2" t="s">
        <v>37</v>
      </c>
      <c r="X9" s="2" t="s">
        <v>38</v>
      </c>
    </row>
    <row r="10" customFormat="false" ht="15.75" hidden="false" customHeight="false" outlineLevel="0" collapsed="false">
      <c r="A10" s="1" t="n">
        <v>32.09</v>
      </c>
      <c r="B10" s="6" t="n">
        <f aca="false">(A8+A9+A10)/3</f>
        <v>31.9433333333333</v>
      </c>
      <c r="C10" s="6" t="n">
        <f aca="false">B10/5</f>
        <v>6.38866666666667</v>
      </c>
      <c r="D10" s="6" t="n">
        <f aca="false">STDEV(A8:A10)</f>
        <v>0.127017059221719</v>
      </c>
      <c r="E10" s="6" t="n">
        <f aca="false">D10/SQRT(3)</f>
        <v>0.0733333333333341</v>
      </c>
      <c r="F10" s="6" t="n">
        <f aca="false">SQRT(E10^2+0.01^2/12)</f>
        <v>0.0733901295210141</v>
      </c>
      <c r="G10" s="6" t="n">
        <f aca="false">F10/5</f>
        <v>0.0146780259042028</v>
      </c>
      <c r="H10" s="6" t="n">
        <f aca="false">2*C10*G10</f>
        <v>0.187546029653301</v>
      </c>
      <c r="I10" s="1"/>
      <c r="J10" s="1" t="n">
        <v>25</v>
      </c>
      <c r="K10" s="7" t="n">
        <f aca="false">C10^2</f>
        <v>40.8150617777778</v>
      </c>
      <c r="L10" s="1" t="n">
        <f aca="false">J10^2</f>
        <v>625</v>
      </c>
      <c r="M10" s="8" t="n">
        <f aca="false">L10/10000</f>
        <v>0.0625</v>
      </c>
      <c r="U10" s="5" t="s">
        <v>39</v>
      </c>
      <c r="V10" s="5" t="s">
        <v>40</v>
      </c>
    </row>
    <row r="11" customFormat="false" ht="15.75" hidden="false" customHeight="false" outlineLevel="0" collapsed="false">
      <c r="A11" s="1" t="n">
        <v>26.18</v>
      </c>
      <c r="B11" s="1"/>
      <c r="C11" s="1"/>
      <c r="D11" s="1"/>
      <c r="E11" s="1"/>
      <c r="F11" s="1"/>
      <c r="G11" s="1"/>
      <c r="H11" s="1"/>
      <c r="I11" s="1" t="n">
        <v>3</v>
      </c>
      <c r="J11" s="1" t="n">
        <v>20</v>
      </c>
      <c r="K11" s="1"/>
      <c r="L11" s="1"/>
      <c r="U11" s="5" t="s">
        <v>41</v>
      </c>
      <c r="V11" s="5" t="s">
        <v>42</v>
      </c>
    </row>
    <row r="12" customFormat="false" ht="15.75" hidden="false" customHeight="false" outlineLevel="0" collapsed="false">
      <c r="A12" s="1" t="n">
        <v>26.35</v>
      </c>
      <c r="B12" s="1"/>
      <c r="C12" s="1"/>
      <c r="D12" s="1"/>
      <c r="E12" s="1"/>
      <c r="F12" s="1"/>
      <c r="G12" s="1"/>
      <c r="H12" s="1"/>
      <c r="I12" s="1"/>
      <c r="J12" s="1" t="n">
        <v>20</v>
      </c>
      <c r="K12" s="1"/>
      <c r="L12" s="1"/>
    </row>
    <row r="13" customFormat="false" ht="15.75" hidden="false" customHeight="false" outlineLevel="0" collapsed="false">
      <c r="A13" s="1" t="n">
        <v>25.97</v>
      </c>
      <c r="B13" s="6" t="n">
        <f aca="false">(A11+A12+A13)/3</f>
        <v>26.1666666666667</v>
      </c>
      <c r="C13" s="6" t="n">
        <f aca="false">B13/5</f>
        <v>5.23333333333333</v>
      </c>
      <c r="D13" s="6" t="n">
        <f aca="false">STDEV(A11:A13)</f>
        <v>0.190350553803591</v>
      </c>
      <c r="E13" s="6" t="n">
        <f aca="false">D13/SQRT(3)</f>
        <v>0.109898943478898</v>
      </c>
      <c r="F13" s="6" t="n">
        <f aca="false">SQRT(E13^2+0.01^2/12)</f>
        <v>0.109936850560271</v>
      </c>
      <c r="G13" s="6" t="n">
        <f aca="false">F13/5</f>
        <v>0.0219873701120541</v>
      </c>
      <c r="H13" s="6" t="n">
        <f aca="false">2*C13*G13</f>
        <v>0.2301344738395</v>
      </c>
      <c r="I13" s="1"/>
      <c r="J13" s="1" t="n">
        <v>20</v>
      </c>
      <c r="K13" s="7" t="n">
        <f aca="false">C13^2</f>
        <v>27.3877777777778</v>
      </c>
      <c r="L13" s="1" t="n">
        <f aca="false">J13^2</f>
        <v>400</v>
      </c>
      <c r="M13" s="8" t="n">
        <f aca="false">L13/10000</f>
        <v>0.04</v>
      </c>
    </row>
    <row r="14" customFormat="false" ht="15.75" hidden="false" customHeight="false" outlineLevel="0" collapsed="false">
      <c r="A14" s="1" t="n">
        <v>20.78</v>
      </c>
      <c r="B14" s="1"/>
      <c r="C14" s="1"/>
      <c r="D14" s="1"/>
      <c r="E14" s="1"/>
      <c r="F14" s="1"/>
      <c r="G14" s="1"/>
      <c r="H14" s="1"/>
      <c r="I14" s="1" t="n">
        <v>4</v>
      </c>
      <c r="J14" s="1" t="n">
        <v>15</v>
      </c>
      <c r="K14" s="1"/>
      <c r="L14" s="1"/>
    </row>
    <row r="15" customFormat="false" ht="15.75" hidden="false" customHeight="false" outlineLevel="0" collapsed="false">
      <c r="A15" s="1" t="n">
        <v>20.85</v>
      </c>
      <c r="B15" s="1"/>
      <c r="C15" s="1"/>
      <c r="D15" s="1"/>
      <c r="E15" s="1"/>
      <c r="F15" s="1"/>
      <c r="G15" s="1"/>
      <c r="H15" s="1"/>
      <c r="I15" s="1"/>
      <c r="J15" s="1" t="n">
        <v>15</v>
      </c>
      <c r="K15" s="1"/>
      <c r="L15" s="1"/>
    </row>
    <row r="16" customFormat="false" ht="15.75" hidden="false" customHeight="false" outlineLevel="0" collapsed="false">
      <c r="A16" s="1" t="n">
        <v>20.87</v>
      </c>
      <c r="B16" s="6" t="n">
        <f aca="false">(A14+A15+A16)/3</f>
        <v>20.8333333333333</v>
      </c>
      <c r="C16" s="6" t="n">
        <f aca="false">B16/5</f>
        <v>4.16666666666667</v>
      </c>
      <c r="D16" s="6" t="n">
        <f aca="false">STDEV(A14:A16)</f>
        <v>0.0472581562625261</v>
      </c>
      <c r="E16" s="6" t="n">
        <f aca="false">D16/SQRT(3)</f>
        <v>0.0272845092395748</v>
      </c>
      <c r="F16" s="6" t="n">
        <f aca="false">SQRT(E16^2+0.01^2/12)</f>
        <v>0.0274367960552572</v>
      </c>
      <c r="G16" s="6" t="n">
        <f aca="false">F16/5</f>
        <v>0.00548735921105144</v>
      </c>
      <c r="H16" s="6" t="n">
        <f aca="false">2*C16*G16</f>
        <v>0.0457279934254287</v>
      </c>
      <c r="I16" s="1"/>
      <c r="J16" s="1" t="n">
        <v>15</v>
      </c>
      <c r="K16" s="7" t="n">
        <f aca="false">C16^2</f>
        <v>17.3611111111111</v>
      </c>
      <c r="L16" s="1" t="n">
        <f aca="false">J16^2</f>
        <v>225</v>
      </c>
      <c r="M16" s="8" t="n">
        <f aca="false">L16/10000</f>
        <v>0.0225</v>
      </c>
    </row>
    <row r="17" customFormat="false" ht="15.75" hidden="false" customHeight="false" outlineLevel="0" collapsed="false">
      <c r="A17" s="1" t="n">
        <v>16.28</v>
      </c>
      <c r="B17" s="1"/>
      <c r="C17" s="1"/>
      <c r="D17" s="1"/>
      <c r="E17" s="1"/>
      <c r="F17" s="1"/>
      <c r="G17" s="1"/>
      <c r="H17" s="1"/>
      <c r="I17" s="1" t="n">
        <v>5</v>
      </c>
      <c r="J17" s="1" t="n">
        <v>10</v>
      </c>
      <c r="K17" s="1"/>
      <c r="L17" s="1"/>
    </row>
    <row r="18" customFormat="false" ht="15.75" hidden="false" customHeight="false" outlineLevel="0" collapsed="false">
      <c r="A18" s="1" t="n">
        <v>16.37</v>
      </c>
      <c r="B18" s="1"/>
      <c r="C18" s="1"/>
      <c r="D18" s="1"/>
      <c r="E18" s="1"/>
      <c r="F18" s="1"/>
      <c r="G18" s="1"/>
      <c r="H18" s="1"/>
      <c r="I18" s="1"/>
      <c r="J18" s="1" t="n">
        <v>10</v>
      </c>
      <c r="K18" s="1"/>
      <c r="L18" s="1"/>
    </row>
    <row r="19" customFormat="false" ht="15.75" hidden="false" customHeight="false" outlineLevel="0" collapsed="false">
      <c r="A19" s="1" t="n">
        <v>16.09</v>
      </c>
      <c r="B19" s="6" t="n">
        <f aca="false">(A17+A18+A19)/3</f>
        <v>16.2466666666667</v>
      </c>
      <c r="C19" s="6" t="n">
        <f aca="false">B19/5</f>
        <v>3.24933333333333</v>
      </c>
      <c r="D19" s="6" t="n">
        <f aca="false">STDEV(A17:A19)</f>
        <v>0.142945210949278</v>
      </c>
      <c r="E19" s="6" t="n">
        <f aca="false">D19/SQRT(3)</f>
        <v>0.0825294560209334</v>
      </c>
      <c r="F19" s="6" t="n">
        <f aca="false">SQRT(E19^2+0.01^2/12)</f>
        <v>0.0825799276122503</v>
      </c>
      <c r="G19" s="6" t="n">
        <f aca="false">F19/5</f>
        <v>0.0165159855224501</v>
      </c>
      <c r="H19" s="6" t="n">
        <f aca="false">2*C19*G19</f>
        <v>0.107331884581896</v>
      </c>
      <c r="I19" s="1"/>
      <c r="J19" s="1" t="n">
        <v>10</v>
      </c>
      <c r="K19" s="7" t="n">
        <f aca="false">C19^2</f>
        <v>10.5581671111111</v>
      </c>
      <c r="L19" s="1" t="n">
        <f aca="false">J19^2</f>
        <v>100</v>
      </c>
      <c r="M19" s="8" t="n">
        <f aca="false">L19/10000</f>
        <v>0.01</v>
      </c>
    </row>
    <row r="20" customFormat="false" ht="15.75" hidden="false" customHeight="false" outlineLevel="0" collapsed="false">
      <c r="A20" s="1" t="n">
        <v>12.87</v>
      </c>
      <c r="B20" s="1"/>
      <c r="C20" s="1"/>
      <c r="D20" s="1"/>
      <c r="E20" s="1"/>
      <c r="F20" s="1"/>
      <c r="G20" s="1"/>
      <c r="H20" s="1"/>
      <c r="I20" s="1" t="n">
        <v>6</v>
      </c>
      <c r="J20" s="1" t="n">
        <v>5</v>
      </c>
      <c r="K20" s="1"/>
      <c r="L20" s="1"/>
    </row>
    <row r="21" customFormat="false" ht="15.75" hidden="false" customHeight="false" outlineLevel="0" collapsed="false">
      <c r="A21" s="1" t="n">
        <v>12.53</v>
      </c>
      <c r="B21" s="1"/>
      <c r="C21" s="1"/>
      <c r="D21" s="1"/>
      <c r="E21" s="1"/>
      <c r="F21" s="1"/>
      <c r="G21" s="1"/>
      <c r="H21" s="1"/>
      <c r="I21" s="1"/>
      <c r="J21" s="1" t="n">
        <v>5</v>
      </c>
      <c r="K21" s="1"/>
      <c r="L21" s="1"/>
    </row>
    <row r="22" customFormat="false" ht="15.75" hidden="false" customHeight="false" outlineLevel="0" collapsed="false">
      <c r="A22" s="1" t="n">
        <v>12.32</v>
      </c>
      <c r="B22" s="6" t="n">
        <f aca="false">(A20+A21+A22)/3</f>
        <v>12.5733333333333</v>
      </c>
      <c r="C22" s="6" t="n">
        <f aca="false">B22/5</f>
        <v>2.51466666666667</v>
      </c>
      <c r="D22" s="6" t="n">
        <f aca="false">STDEV(A20:A22)</f>
        <v>0.277548794508881</v>
      </c>
      <c r="E22" s="6" t="n">
        <f aca="false">D22/SQRT(3)</f>
        <v>0.160242871222959</v>
      </c>
      <c r="F22" s="6" t="n">
        <f aca="false">SQRT(E22^2+0.01^2/12)</f>
        <v>0.160268871310405</v>
      </c>
      <c r="G22" s="6" t="n">
        <f aca="false">F22/5</f>
        <v>0.0320537742620809</v>
      </c>
      <c r="H22" s="6" t="n">
        <f aca="false">2*C22*G22</f>
        <v>0.161209115355426</v>
      </c>
      <c r="I22" s="1"/>
      <c r="J22" s="1" t="n">
        <v>5</v>
      </c>
      <c r="K22" s="7" t="n">
        <f aca="false">C22^2</f>
        <v>6.32354844444444</v>
      </c>
      <c r="L22" s="1" t="n">
        <f aca="false">J22^2</f>
        <v>25</v>
      </c>
      <c r="M22" s="8" t="n">
        <f aca="false">L22/10000</f>
        <v>0.0025</v>
      </c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>
      <c r="A26" s="9" t="s">
        <v>43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.75" hidden="false" customHeight="false" outlineLevel="0" collapsed="false">
      <c r="A28" s="9" t="s">
        <v>7</v>
      </c>
      <c r="B28" s="9" t="s">
        <v>8</v>
      </c>
      <c r="C28" s="9" t="s">
        <v>9</v>
      </c>
      <c r="D28" s="9" t="s">
        <v>10</v>
      </c>
      <c r="E28" s="9" t="s">
        <v>11</v>
      </c>
      <c r="F28" s="9" t="s">
        <v>12</v>
      </c>
      <c r="G28" s="9" t="s">
        <v>13</v>
      </c>
      <c r="H28" s="9" t="s">
        <v>14</v>
      </c>
      <c r="I28" s="9" t="s">
        <v>44</v>
      </c>
      <c r="J28" s="9"/>
      <c r="K28" s="9" t="s">
        <v>17</v>
      </c>
      <c r="L28" s="9" t="s">
        <v>45</v>
      </c>
      <c r="M28" s="4" t="s">
        <v>46</v>
      </c>
    </row>
    <row r="29" customFormat="false" ht="15.75" hidden="false" customHeight="false" outlineLevel="0" collapsed="false">
      <c r="A29" s="9" t="n">
        <v>20.41</v>
      </c>
      <c r="B29" s="9"/>
      <c r="C29" s="9"/>
      <c r="D29" s="9"/>
      <c r="E29" s="9"/>
      <c r="F29" s="9"/>
      <c r="G29" s="9"/>
      <c r="H29" s="9"/>
      <c r="I29" s="9" t="s">
        <v>47</v>
      </c>
      <c r="J29" s="9"/>
      <c r="K29" s="9"/>
      <c r="L29" s="9"/>
    </row>
    <row r="30" customFormat="false" ht="15.75" hidden="false" customHeight="false" outlineLevel="0" collapsed="false">
      <c r="A30" s="9" t="n">
        <v>20.85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customFormat="false" ht="15.75" hidden="false" customHeight="false" outlineLevel="0" collapsed="false">
      <c r="A31" s="9" t="n">
        <v>20.53</v>
      </c>
      <c r="B31" s="10" t="n">
        <f aca="false">(A29+A30+A31)/3</f>
        <v>20.5966666666667</v>
      </c>
      <c r="C31" s="11" t="n">
        <f aca="false">B31/5</f>
        <v>4.11933333333333</v>
      </c>
      <c r="D31" s="11" t="n">
        <f aca="false">STDEV(A29:A31)</f>
        <v>0.227449628123094</v>
      </c>
      <c r="E31" s="10" t="n">
        <f aca="false">D31/SQRT(3)</f>
        <v>0.131318104023948</v>
      </c>
      <c r="F31" s="10" t="n">
        <f aca="false">SQRT(E31^2+0.01^2/12)</f>
        <v>0.131349829759227</v>
      </c>
      <c r="G31" s="10" t="n">
        <f aca="false">F31/5</f>
        <v>0.0262699659518454</v>
      </c>
      <c r="H31" s="10" t="n">
        <f aca="false">2*C31*G31</f>
        <v>0.216429492821937</v>
      </c>
      <c r="I31" s="9"/>
      <c r="J31" s="9"/>
      <c r="K31" s="12" t="n">
        <f aca="false">C31^2</f>
        <v>16.9689071111111</v>
      </c>
      <c r="L31" s="9" t="n">
        <v>0</v>
      </c>
      <c r="M31" s="8" t="n">
        <f aca="false">L31/10000</f>
        <v>0</v>
      </c>
    </row>
    <row r="32" customFormat="false" ht="15.75" hidden="false" customHeight="false" outlineLevel="0" collapsed="false">
      <c r="A32" s="9" t="n">
        <v>20</v>
      </c>
      <c r="B32" s="9"/>
      <c r="C32" s="9"/>
      <c r="D32" s="9"/>
      <c r="E32" s="9"/>
      <c r="F32" s="9"/>
      <c r="G32" s="9"/>
      <c r="H32" s="9"/>
      <c r="I32" s="9" t="s">
        <v>48</v>
      </c>
      <c r="J32" s="9"/>
      <c r="K32" s="9"/>
      <c r="L32" s="9"/>
    </row>
    <row r="33" customFormat="false" ht="15.75" hidden="false" customHeight="false" outlineLevel="0" collapsed="false">
      <c r="A33" s="9" t="n">
        <v>19.94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.75" hidden="false" customHeight="false" outlineLevel="0" collapsed="false">
      <c r="A34" s="9" t="n">
        <v>19.78</v>
      </c>
      <c r="B34" s="10" t="n">
        <f aca="false">(A32+A33+A34)/3</f>
        <v>19.9066666666667</v>
      </c>
      <c r="C34" s="11" t="n">
        <f aca="false">B34/5</f>
        <v>3.98133333333333</v>
      </c>
      <c r="D34" s="11" t="n">
        <f aca="false">STDEV(A32:A34)</f>
        <v>0.113724814061546</v>
      </c>
      <c r="E34" s="10" t="n">
        <f aca="false">D34/SQRT(3)</f>
        <v>0.0656590520119738</v>
      </c>
      <c r="F34" s="10" t="n">
        <f aca="false">SQRT(E34^2+0.01^2/12)</f>
        <v>0.0657224805104343</v>
      </c>
      <c r="G34" s="10" t="n">
        <f aca="false">F34/5</f>
        <v>0.0131444961020869</v>
      </c>
      <c r="H34" s="10" t="n">
        <f aca="false">2*C34*G34</f>
        <v>0.104665240962217</v>
      </c>
      <c r="I34" s="9"/>
      <c r="J34" s="9"/>
      <c r="K34" s="12" t="n">
        <f aca="false">C34^2</f>
        <v>15.8510151111111</v>
      </c>
      <c r="L34" s="9" t="n">
        <v>16</v>
      </c>
      <c r="M34" s="8" t="n">
        <f aca="false">L34/10000</f>
        <v>0.0016</v>
      </c>
    </row>
    <row r="35" customFormat="false" ht="15.75" hidden="false" customHeight="false" outlineLevel="0" collapsed="false">
      <c r="A35" s="9" t="n">
        <v>20.41</v>
      </c>
      <c r="B35" s="9"/>
      <c r="C35" s="9"/>
      <c r="D35" s="9"/>
      <c r="E35" s="9"/>
      <c r="F35" s="9"/>
      <c r="G35" s="9"/>
      <c r="H35" s="9"/>
      <c r="I35" s="9" t="s">
        <v>49</v>
      </c>
      <c r="J35" s="9"/>
      <c r="K35" s="9"/>
      <c r="L35" s="9"/>
    </row>
    <row r="36" customFormat="false" ht="15.75" hidden="false" customHeight="false" outlineLevel="0" collapsed="false">
      <c r="A36" s="9" t="n">
        <v>20.91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.75" hidden="false" customHeight="false" outlineLevel="0" collapsed="false">
      <c r="A37" s="9" t="n">
        <v>21.06</v>
      </c>
      <c r="B37" s="10" t="n">
        <f aca="false">(A35+A36+A37)/3</f>
        <v>20.7933333333333</v>
      </c>
      <c r="C37" s="11" t="n">
        <f aca="false">B37/5</f>
        <v>4.15866666666667</v>
      </c>
      <c r="D37" s="11" t="n">
        <f aca="false">STDEV(A35:A37)</f>
        <v>0.340342964277702</v>
      </c>
      <c r="E37" s="10" t="n">
        <f aca="false">D37/SQRT(3)</f>
        <v>0.196497102042526</v>
      </c>
      <c r="F37" s="10" t="n">
        <f aca="false">SQRT(E37^2+0.01^2/12)</f>
        <v>0.196518305621752</v>
      </c>
      <c r="G37" s="10" t="n">
        <f aca="false">F37/5</f>
        <v>0.0393036611243504</v>
      </c>
      <c r="H37" s="10" t="n">
        <f aca="false">2*C37*G37</f>
        <v>0.326901650791597</v>
      </c>
      <c r="I37" s="9"/>
      <c r="J37" s="9"/>
      <c r="K37" s="12" t="n">
        <f aca="false">C37^2</f>
        <v>17.2945084444444</v>
      </c>
      <c r="L37" s="9" t="n">
        <v>64</v>
      </c>
      <c r="M37" s="8" t="n">
        <f aca="false">L37/10000</f>
        <v>0.0064</v>
      </c>
    </row>
    <row r="38" customFormat="false" ht="15.75" hidden="false" customHeight="false" outlineLevel="0" collapsed="false">
      <c r="A38" s="9" t="n">
        <v>22.5</v>
      </c>
      <c r="B38" s="9"/>
      <c r="C38" s="9"/>
      <c r="D38" s="9"/>
      <c r="E38" s="9"/>
      <c r="F38" s="9"/>
      <c r="G38" s="9"/>
      <c r="H38" s="9"/>
      <c r="I38" s="9" t="s">
        <v>50</v>
      </c>
      <c r="J38" s="9"/>
      <c r="K38" s="9"/>
      <c r="L38" s="9"/>
    </row>
    <row r="39" customFormat="false" ht="15.75" hidden="false" customHeight="false" outlineLevel="0" collapsed="false">
      <c r="A39" s="9" t="n">
        <v>22.22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.75" hidden="false" customHeight="false" outlineLevel="0" collapsed="false">
      <c r="A40" s="9" t="n">
        <v>22.94</v>
      </c>
      <c r="B40" s="10" t="n">
        <f aca="false">(A38+A39+A40)/3</f>
        <v>22.5533333333333</v>
      </c>
      <c r="C40" s="11" t="n">
        <f aca="false">B40/5</f>
        <v>4.51066666666667</v>
      </c>
      <c r="D40" s="11" t="n">
        <f aca="false">STDEV(A38:A40)</f>
        <v>0.3629508690351</v>
      </c>
      <c r="E40" s="10" t="n">
        <f aca="false">D40/SQRT(3)</f>
        <v>0.209549781940024</v>
      </c>
      <c r="F40" s="10" t="n">
        <f aca="false">SQRT(E40^2+0.01^2/12)</f>
        <v>0.209569664895578</v>
      </c>
      <c r="G40" s="10" t="n">
        <f aca="false">F40/5</f>
        <v>0.0419139329791155</v>
      </c>
      <c r="H40" s="10" t="n">
        <f aca="false">2*C40*G40</f>
        <v>0.378119560715594</v>
      </c>
      <c r="I40" s="9"/>
      <c r="J40" s="9"/>
      <c r="K40" s="12" t="n">
        <f aca="false">C40^2</f>
        <v>20.3461137777778</v>
      </c>
      <c r="L40" s="9" t="n">
        <v>144</v>
      </c>
      <c r="M40" s="8" t="n">
        <f aca="false">L40/10000</f>
        <v>0.0144</v>
      </c>
    </row>
    <row r="41" customFormat="false" ht="15.75" hidden="false" customHeight="false" outlineLevel="0" collapsed="false">
      <c r="A41" s="9" t="n">
        <v>25.44</v>
      </c>
      <c r="B41" s="9"/>
      <c r="C41" s="9"/>
      <c r="D41" s="9"/>
      <c r="E41" s="9"/>
      <c r="F41" s="9"/>
      <c r="G41" s="9"/>
      <c r="H41" s="9"/>
      <c r="I41" s="9" t="s">
        <v>51</v>
      </c>
      <c r="J41" s="9"/>
      <c r="K41" s="9"/>
      <c r="L41" s="9"/>
    </row>
    <row r="42" customFormat="false" ht="15.75" hidden="false" customHeight="false" outlineLevel="0" collapsed="false">
      <c r="A42" s="9" t="n">
        <v>24.82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15.75" hidden="false" customHeight="false" outlineLevel="0" collapsed="false">
      <c r="A43" s="9" t="n">
        <v>25.28</v>
      </c>
      <c r="B43" s="10" t="n">
        <f aca="false">(A41+A42+A43)/3</f>
        <v>25.18</v>
      </c>
      <c r="C43" s="11" t="n">
        <f aca="false">B43/5</f>
        <v>5.036</v>
      </c>
      <c r="D43" s="11" t="n">
        <f aca="false">STDEV(A41:A43)</f>
        <v>0.321869538788622</v>
      </c>
      <c r="E43" s="10" t="n">
        <f aca="false">D43/SQRT(3)</f>
        <v>0.185831464863552</v>
      </c>
      <c r="F43" s="10" t="n">
        <f aca="false">SQRT(E43^2+0.01^2/12)</f>
        <v>0.185853885261156</v>
      </c>
      <c r="G43" s="10" t="n">
        <f aca="false">F43/5</f>
        <v>0.0371707770522311</v>
      </c>
      <c r="H43" s="10" t="n">
        <f aca="false">2*C43*G43</f>
        <v>0.374384066470072</v>
      </c>
      <c r="I43" s="9"/>
      <c r="J43" s="9"/>
      <c r="K43" s="12" t="n">
        <f aca="false">C43^2</f>
        <v>25.361296</v>
      </c>
      <c r="L43" s="9" t="n">
        <v>256</v>
      </c>
      <c r="M43" s="8" t="n">
        <f aca="false">L43/10000</f>
        <v>0.0256</v>
      </c>
    </row>
    <row r="44" customFormat="false" ht="15.75" hidden="false" customHeight="false" outlineLevel="0" collapsed="false">
      <c r="A44" s="9" t="s">
        <v>52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15.75" hidden="false" customHeight="false" outlineLevel="0" collapsed="false">
      <c r="A45" s="9" t="n">
        <v>19.91</v>
      </c>
      <c r="B45" s="9"/>
      <c r="C45" s="9"/>
      <c r="D45" s="9"/>
      <c r="E45" s="9"/>
      <c r="F45" s="9"/>
      <c r="G45" s="9"/>
      <c r="H45" s="9"/>
      <c r="I45" s="9" t="s">
        <v>53</v>
      </c>
      <c r="J45" s="9"/>
      <c r="K45" s="9"/>
      <c r="L45" s="9"/>
    </row>
    <row r="46" customFormat="false" ht="15.75" hidden="false" customHeight="false" outlineLevel="0" collapsed="false">
      <c r="A46" s="9" t="n">
        <v>20.18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15.75" hidden="false" customHeight="false" outlineLevel="0" collapsed="false">
      <c r="A47" s="9" t="n">
        <v>20.13</v>
      </c>
      <c r="B47" s="10" t="n">
        <f aca="false">(A45+A46+A47)/3</f>
        <v>20.0733333333333</v>
      </c>
      <c r="C47" s="11" t="n">
        <f aca="false">B47/5</f>
        <v>4.01466666666667</v>
      </c>
      <c r="D47" s="11" t="n">
        <f aca="false">STDEV(A45:A47)</f>
        <v>0.143643076176101</v>
      </c>
      <c r="E47" s="10" t="n">
        <f aca="false">D47/SQRT(3)</f>
        <v>0.082932368697498</v>
      </c>
      <c r="F47" s="10" t="n">
        <f aca="false">SQRT(E47^2+0.01^2/12)</f>
        <v>0.0829825952300305</v>
      </c>
      <c r="G47" s="10" t="n">
        <f aca="false">F47/5</f>
        <v>0.0165965190460061</v>
      </c>
      <c r="H47" s="10" t="n">
        <f aca="false">2*C47*G47</f>
        <v>0.133258983593398</v>
      </c>
      <c r="I47" s="9"/>
      <c r="J47" s="9"/>
      <c r="K47" s="12" t="n">
        <f aca="false">C47^2</f>
        <v>16.1175484444444</v>
      </c>
      <c r="L47" s="9" t="n">
        <v>4</v>
      </c>
      <c r="M47" s="8" t="n">
        <f aca="false">L47/10000</f>
        <v>0.0004</v>
      </c>
    </row>
    <row r="48" customFormat="false" ht="15.75" hidden="false" customHeight="false" outlineLevel="0" collapsed="false">
      <c r="A48" s="9" t="n">
        <v>19.75</v>
      </c>
      <c r="B48" s="9"/>
      <c r="C48" s="9"/>
      <c r="D48" s="9"/>
      <c r="E48" s="9"/>
      <c r="F48" s="9"/>
      <c r="G48" s="9"/>
      <c r="H48" s="9"/>
      <c r="I48" s="9" t="s">
        <v>54</v>
      </c>
      <c r="J48" s="9"/>
      <c r="K48" s="9"/>
      <c r="L48" s="9"/>
    </row>
    <row r="49" customFormat="false" ht="15.75" hidden="false" customHeight="false" outlineLevel="0" collapsed="false">
      <c r="A49" s="9" t="n">
        <v>19.59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.75" hidden="false" customHeight="false" outlineLevel="0" collapsed="false">
      <c r="A50" s="9" t="n">
        <v>19.44</v>
      </c>
      <c r="B50" s="10" t="n">
        <f aca="false">(A48+A49+A50)/3</f>
        <v>19.5933333333333</v>
      </c>
      <c r="C50" s="11" t="n">
        <f aca="false">B50/5</f>
        <v>3.91866666666667</v>
      </c>
      <c r="D50" s="11" t="n">
        <f aca="false">STDEV(A48:A50)</f>
        <v>0.155026879389779</v>
      </c>
      <c r="E50" s="10" t="n">
        <f aca="false">D50/SQRT(3)</f>
        <v>0.0895048105473167</v>
      </c>
      <c r="F50" s="10" t="n">
        <f aca="false">SQRT(E50^2+0.01^2/12)</f>
        <v>0.0895513508800642</v>
      </c>
      <c r="G50" s="10" t="n">
        <f aca="false">F50/5</f>
        <v>0.0179102701760128</v>
      </c>
      <c r="H50" s="10" t="n">
        <f aca="false">2*C50*G50</f>
        <v>0.140368757459471</v>
      </c>
      <c r="I50" s="9"/>
      <c r="J50" s="9"/>
      <c r="K50" s="12" t="n">
        <f aca="false">C50^2</f>
        <v>15.3559484444444</v>
      </c>
      <c r="L50" s="9" t="n">
        <v>16</v>
      </c>
      <c r="M50" s="8" t="n">
        <f aca="false">L50/10000</f>
        <v>0.0016</v>
      </c>
    </row>
    <row r="51" customFormat="false" ht="15.75" hidden="false" customHeight="false" outlineLevel="0" collapsed="false">
      <c r="A51" s="9" t="n">
        <v>20.63</v>
      </c>
      <c r="B51" s="9"/>
      <c r="C51" s="9"/>
      <c r="D51" s="9"/>
      <c r="E51" s="9"/>
      <c r="F51" s="9"/>
      <c r="G51" s="9"/>
      <c r="H51" s="9"/>
      <c r="I51" s="9" t="s">
        <v>55</v>
      </c>
      <c r="J51" s="9"/>
      <c r="K51" s="9"/>
      <c r="L51" s="9"/>
    </row>
    <row r="52" customFormat="false" ht="15.75" hidden="false" customHeight="false" outlineLevel="0" collapsed="false">
      <c r="A52" s="9" t="n">
        <v>20.68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15.75" hidden="false" customHeight="false" outlineLevel="0" collapsed="false">
      <c r="A53" s="9" t="n">
        <v>20.87</v>
      </c>
      <c r="B53" s="10" t="n">
        <f aca="false">(A51+A52+A53)/3</f>
        <v>20.7266666666667</v>
      </c>
      <c r="C53" s="11" t="n">
        <f aca="false">B53/5</f>
        <v>4.14533333333333</v>
      </c>
      <c r="D53" s="11" t="n">
        <f aca="false">STDEV(A51:A53)</f>
        <v>0.126622799421485</v>
      </c>
      <c r="E53" s="10" t="n">
        <f aca="false">D53/SQRT(3)</f>
        <v>0.0731057073315383</v>
      </c>
      <c r="F53" s="10" t="n">
        <f aca="false">SQRT(E53^2+0.01^2/12)</f>
        <v>0.0731626802254938</v>
      </c>
      <c r="G53" s="10" t="n">
        <f aca="false">F53/5</f>
        <v>0.0146325360450988</v>
      </c>
      <c r="H53" s="10" t="n">
        <f aca="false">2*C53*G53</f>
        <v>0.121313478837899</v>
      </c>
      <c r="I53" s="9"/>
      <c r="J53" s="9"/>
      <c r="K53" s="12" t="n">
        <f aca="false">C53^2</f>
        <v>17.1837884444445</v>
      </c>
      <c r="L53" s="9" t="n">
        <v>64</v>
      </c>
      <c r="M53" s="8" t="n">
        <f aca="false">L53/10000</f>
        <v>0.0064</v>
      </c>
    </row>
    <row r="54" customFormat="false" ht="15.75" hidden="false" customHeight="false" outlineLevel="0" collapsed="false">
      <c r="A54" s="9" t="n">
        <v>21.75</v>
      </c>
      <c r="B54" s="9"/>
      <c r="C54" s="9"/>
      <c r="D54" s="9"/>
      <c r="E54" s="9"/>
      <c r="F54" s="9"/>
      <c r="G54" s="9"/>
      <c r="H54" s="9"/>
      <c r="I54" s="9" t="s">
        <v>56</v>
      </c>
      <c r="J54" s="9"/>
      <c r="K54" s="9"/>
      <c r="L54" s="9"/>
    </row>
    <row r="55" customFormat="false" ht="15.75" hidden="false" customHeight="false" outlineLevel="0" collapsed="false">
      <c r="A55" s="9" t="n">
        <v>22.06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15.75" hidden="false" customHeight="false" outlineLevel="0" collapsed="false">
      <c r="A56" s="9" t="n">
        <v>21.75</v>
      </c>
      <c r="B56" s="10" t="n">
        <f aca="false">(A54+A55+A56)/3</f>
        <v>21.8533333333333</v>
      </c>
      <c r="C56" s="11" t="n">
        <f aca="false">B56/5</f>
        <v>4.37066666666667</v>
      </c>
      <c r="D56" s="11" t="n">
        <f aca="false">STDEV(A54:A56)</f>
        <v>0.178978583448783</v>
      </c>
      <c r="E56" s="10" t="n">
        <f aca="false">D56/SQRT(3)</f>
        <v>0.103333333333333</v>
      </c>
      <c r="F56" s="10" t="n">
        <f aca="false">SQRT(E56^2+0.01^2/12)</f>
        <v>0.103373648049738</v>
      </c>
      <c r="G56" s="10" t="n">
        <f aca="false">F56/5</f>
        <v>0.0206747296099475</v>
      </c>
      <c r="H56" s="10" t="n">
        <f aca="false">2*C56*G56</f>
        <v>0.180724703097088</v>
      </c>
      <c r="I56" s="9"/>
      <c r="J56" s="9"/>
      <c r="K56" s="12" t="n">
        <f aca="false">C56^2</f>
        <v>19.1027271111111</v>
      </c>
      <c r="L56" s="9" t="n">
        <v>144</v>
      </c>
      <c r="M56" s="8" t="n">
        <f aca="false">L56/10000</f>
        <v>0.0144</v>
      </c>
    </row>
    <row r="57" customFormat="false" ht="15.75" hidden="false" customHeight="false" outlineLevel="0" collapsed="false">
      <c r="A57" s="9" t="n">
        <v>24.09</v>
      </c>
      <c r="B57" s="9"/>
      <c r="C57" s="9"/>
      <c r="D57" s="9"/>
      <c r="E57" s="9"/>
      <c r="F57" s="9"/>
      <c r="G57" s="9"/>
      <c r="H57" s="9"/>
      <c r="I57" s="9" t="s">
        <v>57</v>
      </c>
      <c r="J57" s="9"/>
      <c r="K57" s="9"/>
      <c r="L57" s="9"/>
    </row>
    <row r="58" customFormat="false" ht="15.75" hidden="false" customHeight="false" outlineLevel="0" collapsed="false">
      <c r="A58" s="9" t="n">
        <v>23.85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customFormat="false" ht="15.75" hidden="false" customHeight="false" outlineLevel="0" collapsed="false">
      <c r="A59" s="9" t="n">
        <v>24.16</v>
      </c>
      <c r="B59" s="10" t="n">
        <f aca="false">(A57+A58+A59)/3</f>
        <v>24.0333333333333</v>
      </c>
      <c r="C59" s="11" t="n">
        <f aca="false">B59/5</f>
        <v>4.80666666666667</v>
      </c>
      <c r="D59" s="11" t="n">
        <f aca="false">STDEV(A57:A59)</f>
        <v>0.162583311976762</v>
      </c>
      <c r="E59" s="10" t="n">
        <f aca="false">D59/SQRT(3)</f>
        <v>0.0938675189355244</v>
      </c>
      <c r="F59" s="10" t="n">
        <f aca="false">SQRT(E59^2+0.01^2/12)</f>
        <v>0.0939118972465383</v>
      </c>
      <c r="G59" s="11" t="n">
        <f aca="false">F59/5</f>
        <v>0.0187823794493077</v>
      </c>
      <c r="H59" s="11" t="n">
        <f aca="false">2*C59*G59</f>
        <v>0.180561274439344</v>
      </c>
      <c r="I59" s="9"/>
      <c r="J59" s="9"/>
      <c r="K59" s="12" t="n">
        <f aca="false">C59^2</f>
        <v>23.1040444444444</v>
      </c>
      <c r="L59" s="9" t="n">
        <v>256</v>
      </c>
      <c r="M59" s="8" t="n">
        <f aca="false">L59/10000</f>
        <v>0.0256</v>
      </c>
    </row>
    <row r="60" customFormat="false" ht="15.75" hidden="false" customHeight="false" outlineLevel="0" collapsed="false">
      <c r="A60" s="9"/>
      <c r="B60" s="9"/>
      <c r="C60" s="9"/>
      <c r="D60" s="9"/>
      <c r="E60" s="9"/>
      <c r="F60" s="9"/>
      <c r="G60" s="13"/>
      <c r="H60" s="13"/>
      <c r="I60" s="9"/>
      <c r="J60" s="9"/>
      <c r="K60" s="9"/>
      <c r="L60" s="9"/>
    </row>
    <row r="61" customFormat="false" ht="15.75" hidden="false" customHeight="false" outlineLevel="0" collapsed="false">
      <c r="F61" s="14"/>
      <c r="G61" s="14"/>
      <c r="H61" s="14"/>
    </row>
    <row r="62" customFormat="false" ht="15.75" hidden="false" customHeight="false" outlineLevel="0" collapsed="false">
      <c r="F62" s="14"/>
      <c r="G62" s="14"/>
      <c r="H62" s="14"/>
    </row>
    <row r="63" customFormat="false" ht="15.75" hidden="false" customHeight="false" outlineLevel="0" collapsed="false"/>
    <row r="64" customFormat="false" ht="15.75" hidden="false" customHeight="false" outlineLevel="0" collapsed="false">
      <c r="A64" s="15" t="s">
        <v>58</v>
      </c>
      <c r="B64" s="15"/>
      <c r="C64" s="15"/>
      <c r="D64" s="15"/>
      <c r="E64" s="15"/>
      <c r="F64" s="15"/>
      <c r="G64" s="15"/>
      <c r="H64" s="15"/>
      <c r="I64" s="15"/>
    </row>
    <row r="65" customFormat="false" ht="15.7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</row>
    <row r="66" customFormat="false" ht="15.75" hidden="false" customHeight="false" outlineLevel="0" collapsed="false">
      <c r="A66" s="15" t="s">
        <v>7</v>
      </c>
      <c r="B66" s="15" t="s">
        <v>8</v>
      </c>
      <c r="C66" s="15" t="s">
        <v>9</v>
      </c>
      <c r="D66" s="15" t="s">
        <v>10</v>
      </c>
      <c r="E66" s="15" t="s">
        <v>11</v>
      </c>
      <c r="F66" s="15" t="s">
        <v>12</v>
      </c>
      <c r="G66" s="15" t="s">
        <v>13</v>
      </c>
      <c r="H66" s="15" t="s">
        <v>14</v>
      </c>
      <c r="I66" s="15" t="s">
        <v>59</v>
      </c>
      <c r="J66" s="4" t="s">
        <v>17</v>
      </c>
      <c r="K66" s="4" t="s">
        <v>60</v>
      </c>
      <c r="L66" s="0" t="s">
        <v>61</v>
      </c>
    </row>
    <row r="67" customFormat="false" ht="15.75" hidden="false" customHeight="false" outlineLevel="0" collapsed="false">
      <c r="A67" s="15" t="n">
        <v>2.68</v>
      </c>
      <c r="B67" s="15"/>
      <c r="C67" s="15"/>
      <c r="D67" s="15"/>
      <c r="E67" s="15"/>
      <c r="F67" s="15"/>
      <c r="G67" s="15"/>
      <c r="H67" s="15"/>
      <c r="I67" s="15" t="s">
        <v>62</v>
      </c>
    </row>
    <row r="68" customFormat="false" ht="15.75" hidden="false" customHeight="false" outlineLevel="0" collapsed="false">
      <c r="A68" s="15" t="n">
        <v>2.68</v>
      </c>
      <c r="B68" s="15"/>
      <c r="C68" s="15"/>
      <c r="D68" s="15"/>
      <c r="E68" s="15"/>
      <c r="F68" s="15"/>
      <c r="G68" s="15"/>
      <c r="H68" s="15"/>
      <c r="I68" s="15" t="s">
        <v>62</v>
      </c>
    </row>
    <row r="69" customFormat="false" ht="15.75" hidden="false" customHeight="false" outlineLevel="0" collapsed="false">
      <c r="A69" s="15" t="n">
        <v>2.66</v>
      </c>
      <c r="B69" s="16" t="n">
        <f aca="false">(A67+A68+A69)/3</f>
        <v>2.67333333333333</v>
      </c>
      <c r="C69" s="16" t="n">
        <f aca="false">B69/5</f>
        <v>0.534666666666667</v>
      </c>
      <c r="D69" s="16" t="n">
        <f aca="false">STDEV(A67:A69)</f>
        <v>0.0115470053837925</v>
      </c>
      <c r="E69" s="16" t="n">
        <f aca="false">D69/SQRT(3)</f>
        <v>0.00666666666666667</v>
      </c>
      <c r="F69" s="16" t="n">
        <f aca="false">SQRT(E69^2+0.01^2/12)</f>
        <v>0.0072648315725678</v>
      </c>
      <c r="G69" s="16" t="n">
        <f aca="false">F69/5</f>
        <v>0.00145296631451356</v>
      </c>
      <c r="H69" s="17" t="n">
        <f aca="false">2*C69*G69</f>
        <v>0.00155370531231983</v>
      </c>
      <c r="I69" s="15" t="s">
        <v>62</v>
      </c>
      <c r="J69" s="5" t="n">
        <f aca="false">C69^2</f>
        <v>0.285868444444444</v>
      </c>
      <c r="K69" s="18" t="n">
        <f aca="false">Resultados!$C$16*J69/(4*PI()^2)</f>
        <v>0.000238358609681734</v>
      </c>
      <c r="L69" s="19" t="n">
        <f aca="false">SQRT((J69/(4*PI()^2)*Resultados!$C$17)^2+(Resultados!$C$16*C69/(2*PI()^2)*G69)^2)</f>
        <v>1.94471460140533E-006</v>
      </c>
    </row>
    <row r="70" customFormat="false" ht="15.75" hidden="false" customHeight="false" outlineLevel="0" collapsed="false">
      <c r="A70" s="15" t="n">
        <v>5.32</v>
      </c>
      <c r="B70" s="15"/>
      <c r="C70" s="15"/>
      <c r="D70" s="15"/>
      <c r="E70" s="15"/>
      <c r="F70" s="15"/>
      <c r="G70" s="15"/>
      <c r="H70" s="15"/>
      <c r="I70" s="15" t="s">
        <v>63</v>
      </c>
    </row>
    <row r="71" customFormat="false" ht="15.75" hidden="false" customHeight="false" outlineLevel="0" collapsed="false">
      <c r="A71" s="15" t="n">
        <v>5.18</v>
      </c>
      <c r="B71" s="15"/>
      <c r="C71" s="15"/>
      <c r="D71" s="15"/>
      <c r="E71" s="15"/>
      <c r="F71" s="15"/>
      <c r="G71" s="15"/>
      <c r="H71" s="15"/>
      <c r="I71" s="15" t="s">
        <v>63</v>
      </c>
    </row>
    <row r="72" customFormat="false" ht="15.75" hidden="false" customHeight="false" outlineLevel="0" collapsed="false">
      <c r="A72" s="15" t="n">
        <v>5.32</v>
      </c>
      <c r="B72" s="16" t="n">
        <f aca="false">(A70+A71+A72)/3</f>
        <v>5.27333333333333</v>
      </c>
      <c r="C72" s="16" t="n">
        <f aca="false">B72/5</f>
        <v>1.05466666666667</v>
      </c>
      <c r="D72" s="16" t="n">
        <f aca="false">STDEV(A70:A72)</f>
        <v>0.0808290376865479</v>
      </c>
      <c r="E72" s="16" t="n">
        <f aca="false">D72/SQRT(3)</f>
        <v>0.0466666666666669</v>
      </c>
      <c r="F72" s="16" t="n">
        <f aca="false">SQRT(E72^2+0.01^2/12)</f>
        <v>0.046755867130352</v>
      </c>
      <c r="G72" s="16" t="n">
        <f aca="false">F72/5</f>
        <v>0.0093511734260704</v>
      </c>
      <c r="H72" s="17" t="n">
        <f aca="false">2*C72*G72</f>
        <v>0.0197247418133912</v>
      </c>
      <c r="I72" s="15" t="s">
        <v>63</v>
      </c>
      <c r="J72" s="5" t="n">
        <f aca="false">C72^2</f>
        <v>1.11232177777778</v>
      </c>
      <c r="K72" s="18" t="n">
        <f aca="false">Resultados!$C$16*(J72-J69)/(4*PI()^2)</f>
        <v>0.000689101127908684</v>
      </c>
      <c r="L72" s="19" t="n">
        <f aca="false">SQRT(((J72-J69)/(4*PI()^2)*Resultados!$C$17)^2+(Resultados!$C$16*C72/(2*PI()^2)*G72)^2+(Resultados!$C$16*C69/(2*PI()^2)*G69)^2)</f>
        <v>1.70220711299129E-005</v>
      </c>
    </row>
    <row r="73" customFormat="false" ht="15.75" hidden="false" customHeight="false" outlineLevel="0" collapsed="false">
      <c r="A73" s="15" t="n">
        <v>3.85</v>
      </c>
      <c r="B73" s="15"/>
      <c r="C73" s="15"/>
      <c r="D73" s="15"/>
      <c r="E73" s="15"/>
      <c r="F73" s="15"/>
      <c r="G73" s="15"/>
      <c r="H73" s="15"/>
      <c r="I73" s="15" t="s">
        <v>64</v>
      </c>
    </row>
    <row r="74" customFormat="false" ht="15.75" hidden="false" customHeight="false" outlineLevel="0" collapsed="false">
      <c r="A74" s="15" t="n">
        <v>3.85</v>
      </c>
      <c r="B74" s="15"/>
      <c r="C74" s="15"/>
      <c r="D74" s="15"/>
      <c r="E74" s="15"/>
      <c r="F74" s="15"/>
      <c r="G74" s="15"/>
      <c r="H74" s="15"/>
      <c r="I74" s="15" t="s">
        <v>64</v>
      </c>
    </row>
    <row r="75" customFormat="false" ht="15.75" hidden="false" customHeight="false" outlineLevel="0" collapsed="false">
      <c r="A75" s="15" t="n">
        <v>3.94</v>
      </c>
      <c r="B75" s="16" t="n">
        <f aca="false">(A73+A74+A75)/3</f>
        <v>3.88</v>
      </c>
      <c r="C75" s="16" t="n">
        <f aca="false">B75/5</f>
        <v>0.776</v>
      </c>
      <c r="D75" s="16" t="n">
        <f aca="false">STDEV(A73:A75)</f>
        <v>0.0519615242270662</v>
      </c>
      <c r="E75" s="16" t="n">
        <f aca="false">D75/SQRT(3)</f>
        <v>0.03</v>
      </c>
      <c r="F75" s="16" t="n">
        <f aca="false">SQRT(E75^2+0.01^2/12)</f>
        <v>0.0301385688667085</v>
      </c>
      <c r="G75" s="16" t="n">
        <f aca="false">F75/5</f>
        <v>0.0060277137733417</v>
      </c>
      <c r="H75" s="17" t="n">
        <f aca="false">2*C75*G75</f>
        <v>0.00935501177622632</v>
      </c>
      <c r="I75" s="15" t="s">
        <v>64</v>
      </c>
      <c r="J75" s="5" t="n">
        <f aca="false">C75^2</f>
        <v>0.602176</v>
      </c>
      <c r="K75" s="18" t="n">
        <f aca="false">Resultados!$C$16*(J75-J69)/(4*PI()^2)</f>
        <v>0.000263738900320291</v>
      </c>
      <c r="L75" s="19" t="n">
        <f aca="false">SQRT(((J75-J69)/(4*PI()^2)*Resultados!$C$17)^2+(Resultados!$C$16*C75/(2*PI()^2)*G75)^2+(Resultados!$C$16*C69/(2*PI()^2)*G69)^2)</f>
        <v>8.06831923354445E-006</v>
      </c>
    </row>
    <row r="76" customFormat="false" ht="15.75" hidden="false" customHeight="false" outlineLevel="0" collapsed="false">
      <c r="A76" s="15" t="n">
        <v>7.53</v>
      </c>
      <c r="B76" s="15"/>
      <c r="C76" s="15"/>
      <c r="D76" s="15"/>
      <c r="E76" s="15"/>
      <c r="F76" s="15"/>
      <c r="G76" s="15"/>
      <c r="H76" s="15"/>
      <c r="I76" s="15" t="s">
        <v>65</v>
      </c>
    </row>
    <row r="77" customFormat="false" ht="15.75" hidden="false" customHeight="false" outlineLevel="0" collapsed="false">
      <c r="A77" s="15" t="n">
        <v>7.47</v>
      </c>
      <c r="B77" s="15"/>
      <c r="C77" s="15"/>
      <c r="D77" s="15"/>
      <c r="E77" s="15"/>
      <c r="F77" s="15"/>
      <c r="G77" s="15"/>
      <c r="H77" s="15"/>
      <c r="I77" s="15" t="s">
        <v>65</v>
      </c>
    </row>
    <row r="78" customFormat="false" ht="15.75" hidden="false" customHeight="false" outlineLevel="0" collapsed="false">
      <c r="A78" s="15" t="n">
        <v>7.28</v>
      </c>
      <c r="B78" s="16" t="n">
        <f aca="false">(A76+A77+A78)/3</f>
        <v>7.42666666666667</v>
      </c>
      <c r="C78" s="16" t="n">
        <f aca="false">B78/5</f>
        <v>1.48533333333333</v>
      </c>
      <c r="D78" s="16" t="n">
        <f aca="false">STDEV(A76:A78)</f>
        <v>0.130511813003013</v>
      </c>
      <c r="E78" s="16" t="n">
        <f aca="false">D78/SQRT(3)</f>
        <v>0.0753510303697154</v>
      </c>
      <c r="F78" s="16" t="n">
        <f aca="false">SQRT(E78^2+0.01^2/12)</f>
        <v>0.0754063068390908</v>
      </c>
      <c r="G78" s="16" t="n">
        <f aca="false">F78/5</f>
        <v>0.0150812613678182</v>
      </c>
      <c r="H78" s="17" t="n">
        <f aca="false">2*C78*G78</f>
        <v>0.0448014004366651</v>
      </c>
      <c r="I78" s="15" t="s">
        <v>65</v>
      </c>
      <c r="J78" s="5" t="n">
        <f aca="false">C78^2</f>
        <v>2.20621511111111</v>
      </c>
      <c r="K78" s="18" t="n">
        <f aca="false">Resultados!$C$16*J78/(4*PI()^2)</f>
        <v>0.00183955374146052</v>
      </c>
      <c r="L78" s="19" t="n">
        <f aca="false">SQRT((J78/(4*PI()^2)*Resultados!$C$17)^2+(Resultados!$C$16*C78/(2*PI()^2)*G78)^2)</f>
        <v>3.89966477241022E-005</v>
      </c>
    </row>
    <row r="79" customFormat="false" ht="15.7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</row>
    <row r="80" customFormat="false" ht="15.75" hidden="false" customHeight="false" outlineLevel="0" collapsed="false">
      <c r="A80" s="20" t="s">
        <v>66</v>
      </c>
      <c r="D80" s="14"/>
      <c r="E80" s="14"/>
      <c r="F80" s="14"/>
      <c r="G80" s="14"/>
    </row>
    <row r="81" customFormat="false" ht="15.75" hidden="false" customHeight="false" outlineLevel="0" collapsed="false">
      <c r="D81" s="14"/>
      <c r="E81" s="14"/>
      <c r="F81" s="14"/>
      <c r="G81" s="14"/>
    </row>
    <row r="82" customFormat="false" ht="15.75" hidden="false" customHeight="false" outlineLevel="0" collapsed="false">
      <c r="A82" s="2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8" min="3" style="0" width="17"/>
  </cols>
  <sheetData>
    <row r="1" customFormat="false" ht="17.35" hidden="false" customHeight="false" outlineLevel="0" collapsed="false">
      <c r="B1" s="21" t="s">
        <v>68</v>
      </c>
    </row>
    <row r="2" customFormat="false" ht="15" hidden="false" customHeight="false" outlineLevel="0" collapsed="false">
      <c r="B2" s="20" t="s">
        <v>69</v>
      </c>
    </row>
    <row r="4" customFormat="false" ht="15" hidden="false" customHeight="false" outlineLevel="0" collapsed="false">
      <c r="B4" s="22" t="s">
        <v>70</v>
      </c>
      <c r="C4" s="23"/>
      <c r="D4" s="23"/>
      <c r="E4" s="23"/>
      <c r="F4" s="23"/>
      <c r="G4" s="23"/>
      <c r="H4" s="23"/>
    </row>
    <row r="5" customFormat="false" ht="15" hidden="false" customHeight="false" outlineLevel="0" collapsed="false">
      <c r="B5" s="24" t="s">
        <v>19</v>
      </c>
      <c r="C5" s="24" t="s">
        <v>71</v>
      </c>
      <c r="D5" s="24" t="s">
        <v>72</v>
      </c>
    </row>
    <row r="6" customFormat="false" ht="15" hidden="false" customHeight="false" outlineLevel="0" collapsed="false">
      <c r="B6" s="25" t="n">
        <f aca="false">Datos!M7</f>
        <v>0.09</v>
      </c>
      <c r="C6" s="26" t="n">
        <f aca="false">Datos!K7</f>
        <v>56.0901137777778</v>
      </c>
      <c r="D6" s="26" t="n">
        <f aca="false">Datos!H7</f>
        <v>0.422806604542361</v>
      </c>
    </row>
    <row r="7" customFormat="false" ht="15" hidden="false" customHeight="false" outlineLevel="0" collapsed="false">
      <c r="B7" s="25" t="n">
        <f aca="false">Datos!M10</f>
        <v>0.0625</v>
      </c>
      <c r="C7" s="26" t="n">
        <f aca="false">Datos!K10</f>
        <v>40.8150617777778</v>
      </c>
      <c r="D7" s="26" t="n">
        <f aca="false">Datos!H10</f>
        <v>0.187546029653301</v>
      </c>
    </row>
    <row r="8" customFormat="false" ht="15" hidden="false" customHeight="false" outlineLevel="0" collapsed="false">
      <c r="B8" s="25" t="n">
        <f aca="false">Datos!M13</f>
        <v>0.04</v>
      </c>
      <c r="C8" s="26" t="n">
        <f aca="false">Datos!K13</f>
        <v>27.3877777777778</v>
      </c>
      <c r="D8" s="26" t="n">
        <f aca="false">Datos!H13</f>
        <v>0.2301344738395</v>
      </c>
    </row>
    <row r="9" customFormat="false" ht="15" hidden="false" customHeight="false" outlineLevel="0" collapsed="false">
      <c r="B9" s="25" t="n">
        <f aca="false">Datos!M16</f>
        <v>0.0225</v>
      </c>
      <c r="C9" s="26" t="n">
        <f aca="false">Datos!K16</f>
        <v>17.3611111111111</v>
      </c>
      <c r="D9" s="26" t="n">
        <f aca="false">Datos!H16</f>
        <v>0.0457279934254287</v>
      </c>
    </row>
    <row r="10" customFormat="false" ht="15" hidden="false" customHeight="false" outlineLevel="0" collapsed="false">
      <c r="B10" s="25" t="n">
        <f aca="false">Datos!M19</f>
        <v>0.01</v>
      </c>
      <c r="C10" s="26" t="n">
        <f aca="false">Datos!K19</f>
        <v>10.5581671111111</v>
      </c>
      <c r="D10" s="26" t="n">
        <f aca="false">Datos!H19</f>
        <v>0.107331884581896</v>
      </c>
    </row>
    <row r="11" customFormat="false" ht="15" hidden="false" customHeight="false" outlineLevel="0" collapsed="false">
      <c r="B11" s="25" t="n">
        <f aca="false">Datos!M22</f>
        <v>0.0025</v>
      </c>
      <c r="C11" s="26" t="n">
        <f aca="false">Datos!K22</f>
        <v>6.32354844444444</v>
      </c>
      <c r="D11" s="26" t="n">
        <f aca="false">Datos!H22</f>
        <v>0.161209115355426</v>
      </c>
    </row>
    <row r="13" customFormat="false" ht="15" hidden="false" customHeight="false" outlineLevel="0" collapsed="false">
      <c r="B13" s="27" t="s">
        <v>73</v>
      </c>
      <c r="C13" s="28" t="n">
        <f aca="false">SLOPE(C6:C11,B6:B11)</f>
        <v>571.356441100143</v>
      </c>
    </row>
    <row r="14" customFormat="false" ht="15" hidden="false" customHeight="false" outlineLevel="0" collapsed="false">
      <c r="B14" s="27" t="s">
        <v>74</v>
      </c>
      <c r="C14" s="28" t="n">
        <f aca="false">STEYX(C6:C11,B6:B11)/SQRT(DEVSQ(B6:B11))</f>
        <v>3.46836280646374</v>
      </c>
    </row>
    <row r="15" customFormat="false" ht="15" hidden="false" customHeight="false" outlineLevel="0" collapsed="false">
      <c r="B15" s="27" t="s">
        <v>75</v>
      </c>
      <c r="C15" s="26" t="n">
        <f aca="false">INTERCEPT(C6:C11,B6:B11)</f>
        <v>4.75869827495292</v>
      </c>
      <c r="E15" s="27" t="s">
        <v>76</v>
      </c>
      <c r="F15" s="26" t="n">
        <f aca="false">C14*SQRT(SUMSQ(B6:B11)/COUNT(B6:B11))</f>
        <v>0.168841656490411</v>
      </c>
    </row>
    <row r="16" customFormat="false" ht="15" hidden="false" customHeight="false" outlineLevel="0" collapsed="false">
      <c r="B16" s="27" t="s">
        <v>77</v>
      </c>
      <c r="C16" s="29" t="n">
        <f aca="false">8*PI()^2*C21/C13</f>
        <v>0.032917311845653</v>
      </c>
      <c r="D16" s="30" t="s">
        <v>78</v>
      </c>
    </row>
    <row r="17" customFormat="false" ht="15" hidden="false" customHeight="false" outlineLevel="0" collapsed="false">
      <c r="B17" s="27" t="s">
        <v>79</v>
      </c>
      <c r="C17" s="29" t="n">
        <f aca="false">C16*SQRT((C22/C21)^2+(C14/C13)^2)</f>
        <v>0.000200298570272994</v>
      </c>
    </row>
    <row r="18" customFormat="false" ht="15" hidden="false" customHeight="false" outlineLevel="0" collapsed="false">
      <c r="B18" s="27" t="s">
        <v>80</v>
      </c>
      <c r="C18" s="26" t="n">
        <f aca="false">TINV(0.05,COUNT(B6:B11)-2)</f>
        <v>2.77644510519779</v>
      </c>
    </row>
    <row r="19" customFormat="false" ht="15" hidden="false" customHeight="false" outlineLevel="0" collapsed="false">
      <c r="B19" s="27" t="s">
        <v>81</v>
      </c>
      <c r="C19" s="29" t="n">
        <f aca="false">C18*C17</f>
        <v>0.000556117985012572</v>
      </c>
    </row>
    <row r="20" customFormat="false" ht="15" hidden="false" customHeight="false" outlineLevel="0" collapsed="false">
      <c r="B20" s="27" t="s">
        <v>82</v>
      </c>
      <c r="C20" s="31" t="n">
        <f aca="false">CORREL(B6:B11,C6:C11)</f>
        <v>0.999926308605792</v>
      </c>
    </row>
    <row r="21" customFormat="false" ht="15" hidden="false" customHeight="false" outlineLevel="0" collapsed="false">
      <c r="B21" s="27" t="s">
        <v>83</v>
      </c>
      <c r="C21" s="25" t="n">
        <f aca="false">(0.2383+0.2381)/2</f>
        <v>0.2382</v>
      </c>
    </row>
    <row r="22" customFormat="false" ht="15" hidden="false" customHeight="false" outlineLevel="0" collapsed="false">
      <c r="B22" s="27" t="s">
        <v>84</v>
      </c>
      <c r="C22" s="25" t="n">
        <f aca="false">0.0001</f>
        <v>0.0001</v>
      </c>
    </row>
    <row r="24" customFormat="false" ht="15" hidden="false" customHeight="false" outlineLevel="0" collapsed="false">
      <c r="B24" s="27" t="s">
        <v>85</v>
      </c>
      <c r="C24" s="32" t="n">
        <f aca="false">0.1311*0.6^2/12</f>
        <v>0.003933</v>
      </c>
    </row>
    <row r="25" customFormat="false" ht="15" hidden="false" customHeight="false" outlineLevel="0" collapsed="false">
      <c r="B25" s="27" t="s">
        <v>86</v>
      </c>
      <c r="C25" s="33" t="n">
        <f aca="false">SQRT((0.6^2/12*0.0001)^2+(0.1311*0.6/6*0.001)^2)</f>
        <v>1.34488698409941E-005</v>
      </c>
      <c r="D25" s="30" t="s">
        <v>87</v>
      </c>
    </row>
    <row r="26" customFormat="false" ht="15" hidden="false" customHeight="false" outlineLevel="0" collapsed="false">
      <c r="B26" s="27" t="s">
        <v>88</v>
      </c>
      <c r="C26" s="32" t="n">
        <f aca="false">C21*(0.0353^2/16+0.0332^2/12)</f>
        <v>4.0430628875E-005</v>
      </c>
    </row>
    <row r="27" customFormat="false" ht="15" hidden="false" customHeight="false" outlineLevel="0" collapsed="false">
      <c r="B27" s="27" t="s">
        <v>89</v>
      </c>
      <c r="C27" s="33" t="n">
        <f aca="false">SQRT(((0.0353^2/16+0.0332^2/12)*C22)^2+(C21*0.0353/8*0.0001)^2+(C21*0.0332/6*0.0001)^2)</f>
        <v>1.69433200008669E-007</v>
      </c>
      <c r="D27" s="30" t="s">
        <v>90</v>
      </c>
    </row>
    <row r="28" customFormat="false" ht="15" hidden="false" customHeight="false" outlineLevel="0" collapsed="false">
      <c r="B28" s="27" t="s">
        <v>91</v>
      </c>
      <c r="C28" s="26" t="n">
        <f aca="false">4*PI()^2*(C24+2*C26)/C16</f>
        <v>4.81390739567125</v>
      </c>
    </row>
    <row r="30" customFormat="false" ht="15" hidden="false" customHeight="false" outlineLevel="0" collapsed="false">
      <c r="B30" s="34" t="s">
        <v>92</v>
      </c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B31" s="24" t="s">
        <v>93</v>
      </c>
      <c r="C31" s="24" t="s">
        <v>94</v>
      </c>
      <c r="D31" s="24" t="s">
        <v>95</v>
      </c>
      <c r="E31" s="24" t="s">
        <v>96</v>
      </c>
    </row>
    <row r="32" customFormat="false" ht="15" hidden="false" customHeight="false" outlineLevel="0" collapsed="false">
      <c r="B32" s="25" t="n">
        <f aca="false">Datos!M31</f>
        <v>0</v>
      </c>
      <c r="C32" s="26" t="n">
        <f aca="false">Datos!K31</f>
        <v>16.9689071111111</v>
      </c>
      <c r="D32" s="25" t="n">
        <f aca="false">Datos!M47</f>
        <v>0.0004</v>
      </c>
      <c r="E32" s="26" t="n">
        <f aca="false">Datos!K47</f>
        <v>16.1175484444444</v>
      </c>
    </row>
    <row r="33" customFormat="false" ht="15" hidden="false" customHeight="false" outlineLevel="0" collapsed="false">
      <c r="B33" s="25" t="n">
        <f aca="false">Datos!M34</f>
        <v>0.0016</v>
      </c>
      <c r="C33" s="26" t="n">
        <f aca="false">Datos!K34</f>
        <v>15.8510151111111</v>
      </c>
      <c r="D33" s="25" t="n">
        <f aca="false">Datos!M50</f>
        <v>0.0016</v>
      </c>
      <c r="E33" s="26" t="n">
        <f aca="false">Datos!K50</f>
        <v>15.3559484444444</v>
      </c>
    </row>
    <row r="34" customFormat="false" ht="15" hidden="false" customHeight="false" outlineLevel="0" collapsed="false">
      <c r="B34" s="25" t="n">
        <f aca="false">Datos!M37</f>
        <v>0.0064</v>
      </c>
      <c r="C34" s="26" t="n">
        <f aca="false">Datos!K37</f>
        <v>17.2945084444444</v>
      </c>
      <c r="D34" s="25" t="n">
        <f aca="false">Datos!M53</f>
        <v>0.0064</v>
      </c>
      <c r="E34" s="26" t="n">
        <f aca="false">Datos!K53</f>
        <v>17.1837884444445</v>
      </c>
    </row>
    <row r="35" customFormat="false" ht="15" hidden="false" customHeight="false" outlineLevel="0" collapsed="false">
      <c r="B35" s="25" t="n">
        <f aca="false">Datos!M40</f>
        <v>0.0144</v>
      </c>
      <c r="C35" s="26" t="n">
        <f aca="false">Datos!K40</f>
        <v>20.3461137777778</v>
      </c>
      <c r="D35" s="25" t="n">
        <f aca="false">Datos!M56</f>
        <v>0.0144</v>
      </c>
      <c r="E35" s="26" t="n">
        <f aca="false">Datos!K56</f>
        <v>19.1027271111111</v>
      </c>
    </row>
    <row r="36" customFormat="false" ht="15" hidden="false" customHeight="false" outlineLevel="0" collapsed="false">
      <c r="B36" s="25" t="n">
        <f aca="false">Datos!M43</f>
        <v>0.0256</v>
      </c>
      <c r="C36" s="26" t="n">
        <f aca="false">Datos!K43</f>
        <v>25.361296</v>
      </c>
      <c r="D36" s="25" t="n">
        <f aca="false">Datos!M59</f>
        <v>0.0256</v>
      </c>
      <c r="E36" s="26" t="n">
        <f aca="false">Datos!K59</f>
        <v>23.1040444444444</v>
      </c>
    </row>
    <row r="38" customFormat="false" ht="15" hidden="false" customHeight="false" outlineLevel="0" collapsed="false">
      <c r="C38" s="24" t="s">
        <v>97</v>
      </c>
      <c r="E38" s="24" t="s">
        <v>98</v>
      </c>
    </row>
    <row r="39" customFormat="false" ht="15" hidden="false" customHeight="false" outlineLevel="0" collapsed="false">
      <c r="B39" s="27" t="s">
        <v>73</v>
      </c>
      <c r="C39" s="28" t="n">
        <f aca="false">SLOPE(C32:C36,B32:B36)</f>
        <v>355.581056832695</v>
      </c>
      <c r="E39" s="28" t="n">
        <f aca="false">SLOPE(E32:E36,D32:D36)</f>
        <v>292.247150930527</v>
      </c>
    </row>
    <row r="40" customFormat="false" ht="15" hidden="false" customHeight="false" outlineLevel="0" collapsed="false">
      <c r="B40" s="27" t="s">
        <v>74</v>
      </c>
      <c r="C40" s="28" t="n">
        <f aca="false">STEYX(C32:C36,B32:B36)/SQRT(DEVSQ(B32:B36))</f>
        <v>45.550636285114</v>
      </c>
      <c r="E40" s="28" t="n">
        <f aca="false">STEYX(E32:E36,D32:D36)/SQRT(DEVSQ(D32:D36))</f>
        <v>26.4562853462379</v>
      </c>
    </row>
    <row r="41" customFormat="false" ht="15" hidden="false" customHeight="false" outlineLevel="0" collapsed="false">
      <c r="B41" s="27" t="s">
        <v>75</v>
      </c>
      <c r="C41" s="26" t="n">
        <f aca="false">INTERCEPT(C32:C36,B32:B36)</f>
        <v>15.750789943295</v>
      </c>
      <c r="E41" s="26" t="n">
        <f aca="false">INTERCEPT(E32:E36,D32:D36)</f>
        <v>15.3438589567703</v>
      </c>
    </row>
    <row r="42" customFormat="false" ht="15" hidden="false" customHeight="false" outlineLevel="0" collapsed="false">
      <c r="B42" s="27" t="s">
        <v>76</v>
      </c>
      <c r="C42" s="26" t="n">
        <f aca="false">C40*SQRT(SUMSQ(B32:B36)/COUNT(B32:B36))</f>
        <v>0.613240825237293</v>
      </c>
      <c r="E42" s="26" t="n">
        <f aca="false">E40*SQRT(SUMSQ(D32:D36)/COUNT(D32:D36))</f>
        <v>0.356208117568666</v>
      </c>
    </row>
    <row r="43" customFormat="false" ht="15" hidden="false" customHeight="false" outlineLevel="0" collapsed="false">
      <c r="B43" s="27" t="s">
        <v>82</v>
      </c>
      <c r="C43" s="31" t="n">
        <f aca="false">CORREL(B32:B36,C32:C36)</f>
        <v>0.976257937369269</v>
      </c>
      <c r="E43" s="31" t="n">
        <f aca="false">CORREL(D32:D36,E32:E36)</f>
        <v>0.987929388548073</v>
      </c>
    </row>
    <row r="44" customFormat="false" ht="15" hidden="false" customHeight="false" outlineLevel="0" collapsed="false">
      <c r="B44" s="27" t="s">
        <v>99</v>
      </c>
      <c r="C44" s="26" t="n">
        <f aca="false">TINV(0.05,COUNT(B32:B36)-2)</f>
        <v>3.18244630528371</v>
      </c>
      <c r="E44" s="26" t="n">
        <f aca="false">TINV(0.05,COUNT(D32:D36)-2)</f>
        <v>3.18244630528371</v>
      </c>
    </row>
    <row r="45" customFormat="false" ht="15" hidden="false" customHeight="false" outlineLevel="0" collapsed="false">
      <c r="B45" s="27" t="s">
        <v>100</v>
      </c>
      <c r="C45" s="28" t="n">
        <f aca="false">C44*C40</f>
        <v>144.962454148883</v>
      </c>
      <c r="E45" s="28" t="n">
        <f aca="false">E44*E40</f>
        <v>84.1957075516664</v>
      </c>
    </row>
    <row r="46" customFormat="false" ht="15" hidden="false" customHeight="false" outlineLevel="0" collapsed="false">
      <c r="B46" s="27" t="s">
        <v>101</v>
      </c>
      <c r="C46" s="26" t="n">
        <f aca="false">C44*C42</f>
        <v>1.95160599852556</v>
      </c>
      <c r="E46" s="26" t="n">
        <f aca="false">E44*E42</f>
        <v>1.13361320766847</v>
      </c>
    </row>
    <row r="47" customFormat="false" ht="15" hidden="false" customHeight="false" outlineLevel="0" collapsed="false">
      <c r="B47" s="27" t="s">
        <v>102</v>
      </c>
      <c r="C47" s="25" t="n">
        <f aca="false">$C$16*C39/(4*PI()^2)</f>
        <v>0.296485351856574</v>
      </c>
      <c r="E47" s="25" t="n">
        <f aca="false">$C$16*E39/(4*PI()^2)</f>
        <v>0.243677208635687</v>
      </c>
    </row>
    <row r="48" customFormat="false" ht="15" hidden="false" customHeight="false" outlineLevel="0" collapsed="false">
      <c r="B48" s="27" t="s">
        <v>103</v>
      </c>
      <c r="C48" s="25" t="n">
        <f aca="false">C44*C47*SQRT(($C$17/$C$16)^2+(C40/C39)^2)</f>
        <v>0.121006737961977</v>
      </c>
      <c r="E48" s="25" t="n">
        <f aca="false">E44*E47*SQRT(($C$17/$C$16)^2+(E40/E39)^2)</f>
        <v>0.0703612337155795</v>
      </c>
    </row>
    <row r="49" customFormat="false" ht="15" hidden="false" customHeight="false" outlineLevel="0" collapsed="false">
      <c r="B49" s="27" t="s">
        <v>104</v>
      </c>
      <c r="C49" s="29" t="n">
        <f aca="false">$C$16*C41/(4*PI()^2)</f>
        <v>0.0131330913405605</v>
      </c>
      <c r="E49" s="29" t="n">
        <f aca="false">$C$16*E41/(4*PI()^2)</f>
        <v>0.0127937901477585</v>
      </c>
    </row>
    <row r="50" customFormat="false" ht="15" hidden="false" customHeight="false" outlineLevel="0" collapsed="false">
      <c r="B50" s="27" t="s">
        <v>105</v>
      </c>
      <c r="C50" s="29" t="n">
        <f aca="false">C44*C49*SQRT(($C$17/$C$16)^2+(C42/C41)^2)</f>
        <v>0.00164701301861695</v>
      </c>
      <c r="E50" s="29" t="n">
        <f aca="false">E44*E49*SQRT(($C$17/$C$16)^2+(E42/E41)^2)</f>
        <v>0.000977142283124239</v>
      </c>
    </row>
    <row r="53" customFormat="false" ht="15" hidden="false" customHeight="false" outlineLevel="0" collapsed="false">
      <c r="B53" s="34" t="s">
        <v>106</v>
      </c>
      <c r="C53" s="23"/>
      <c r="D53" s="23"/>
      <c r="E53" s="23"/>
      <c r="F53" s="23"/>
      <c r="G53" s="23"/>
      <c r="H53" s="23"/>
    </row>
    <row r="54" customFormat="false" ht="15" hidden="false" customHeight="false" outlineLevel="0" collapsed="false">
      <c r="B54" s="24" t="s">
        <v>107</v>
      </c>
      <c r="C54" s="24" t="s">
        <v>60</v>
      </c>
      <c r="D54" s="24" t="s">
        <v>108</v>
      </c>
      <c r="E54" s="24" t="s">
        <v>109</v>
      </c>
      <c r="F54" s="24" t="s">
        <v>110</v>
      </c>
      <c r="G54" s="24" t="s">
        <v>111</v>
      </c>
    </row>
    <row r="55" customFormat="false" ht="15" hidden="false" customHeight="false" outlineLevel="0" collapsed="false">
      <c r="B55" s="27" t="s">
        <v>112</v>
      </c>
      <c r="C55" s="35" t="n">
        <f aca="false">Datos!K69</f>
        <v>0.000238358609681734</v>
      </c>
      <c r="D55" s="33" t="n">
        <f aca="false">Datos!L69</f>
        <v>1.94471460140533E-006</v>
      </c>
      <c r="E55" s="36"/>
      <c r="F55" s="37"/>
    </row>
    <row r="56" customFormat="false" ht="15" hidden="false" customHeight="false" outlineLevel="0" collapsed="false">
      <c r="B56" s="27" t="s">
        <v>113</v>
      </c>
      <c r="C56" s="35" t="n">
        <f aca="false">Datos!K72</f>
        <v>0.000689101127908684</v>
      </c>
      <c r="D56" s="33" t="n">
        <f aca="false">Datos!L72</f>
        <v>1.70220711299129E-005</v>
      </c>
      <c r="E56" s="35" t="n">
        <f aca="false">0.3995*(0.0903/2)^2</f>
        <v>0.00081438973875</v>
      </c>
      <c r="F56" s="33" t="n">
        <f aca="false">E56*SQRT((0.0001/0.3995)^2+(2*0.0001/0.0903)^2)</f>
        <v>1.81522526043913E-006</v>
      </c>
      <c r="G56" s="38" t="n">
        <f aca="false">100*(C56-E56)/E56</f>
        <v>-15.3843552883685</v>
      </c>
    </row>
    <row r="57" customFormat="false" ht="15" hidden="false" customHeight="false" outlineLevel="0" collapsed="false">
      <c r="B57" s="27" t="s">
        <v>114</v>
      </c>
      <c r="C57" s="35" t="n">
        <f aca="false">Datos!K75</f>
        <v>0.000263738900320291</v>
      </c>
      <c r="D57" s="33" t="n">
        <f aca="false">Datos!L75</f>
        <v>8.06831923354445E-006</v>
      </c>
      <c r="E57" s="35" t="n">
        <f aca="false">0.5*0.3408*(0.0894/2)^2</f>
        <v>0.000340474536</v>
      </c>
      <c r="F57" s="33" t="n">
        <f aca="false">E57*SQRT((0.0001/0.3408)^2+(2*0.0001/0.0894)^2)</f>
        <v>7.68211896851546E-007</v>
      </c>
      <c r="G57" s="38" t="n">
        <f aca="false">100*(C57-E57)/E57</f>
        <v>-22.5378486688676</v>
      </c>
    </row>
    <row r="58" customFormat="false" ht="15" hidden="false" customHeight="false" outlineLevel="0" collapsed="false">
      <c r="B58" s="27" t="s">
        <v>115</v>
      </c>
      <c r="C58" s="35" t="n">
        <f aca="false">Datos!K78</f>
        <v>0.00183955374146052</v>
      </c>
      <c r="D58" s="33" t="n">
        <f aca="false">Datos!L78</f>
        <v>3.89966477241022E-005</v>
      </c>
      <c r="E58" s="35" t="n">
        <f aca="false">0.9481*0.46^2/(10*PI()^2)</f>
        <v>0.00203268491671112</v>
      </c>
      <c r="F58" s="33" t="n">
        <f aca="false">E58*SQRT((0.0001/0.9481)^2+(2*0.001/0.46)^2)</f>
        <v>8.84036064143889E-006</v>
      </c>
      <c r="G58" s="38" t="n">
        <f aca="false">100*(C58-E58)/E58</f>
        <v>-9.50128441761087</v>
      </c>
    </row>
    <row r="60" customFormat="false" ht="15" hidden="false" customHeight="false" outlineLevel="0" collapsed="false">
      <c r="B60" s="2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2026-10-29T23:00:33Z</dcterms:created>
  <dc:creator>openpyxl</dc:creator>
  <dc:description/>
  <dc:language>en-US</dc:language>
  <cp:lastModifiedBy/>
  <dcterms:modified xsi:type="dcterms:W3CDTF">2026-10-29T23:00:33Z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