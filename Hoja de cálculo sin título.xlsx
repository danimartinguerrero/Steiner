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<sst xmlns="http://schemas.openxmlformats.org/spreadsheetml/2006/main" count="83" uniqueCount="57">
  <si>
    <t>PARTE 1: DETERMINACIÓN DE D</t>
  </si>
  <si>
    <t>Incertidumbre</t>
  </si>
  <si>
    <t>0,1 g</t>
  </si>
  <si>
    <t>Masa cilindro 1</t>
  </si>
  <si>
    <t>238,3 g</t>
  </si>
  <si>
    <t>h = 3,32 cm</t>
  </si>
  <si>
    <t>d = 3,53</t>
  </si>
  <si>
    <t>PERIODO TRAS CINCO OSCILACIONES (seg)</t>
  </si>
  <si>
    <t>Medias</t>
  </si>
  <si>
    <t>Periodo</t>
  </si>
  <si>
    <t>Desviación muestral s</t>
  </si>
  <si>
    <t>u_(A) = s/(3)^1/2</t>
  </si>
  <si>
    <t>u (tn)</t>
  </si>
  <si>
    <t>u (T) = u(tn) / n</t>
  </si>
  <si>
    <t>u (T^2) = 2 T u(T)</t>
  </si>
  <si>
    <t>Posición simétrica de los cilindros</t>
  </si>
  <si>
    <t>Medida (cm)</t>
  </si>
  <si>
    <t>T^2</t>
  </si>
  <si>
    <t>R^2</t>
  </si>
  <si>
    <t>Masa cilindro 2</t>
  </si>
  <si>
    <t>238,1 g</t>
  </si>
  <si>
    <t>Masa barra</t>
  </si>
  <si>
    <t>131,1 g</t>
  </si>
  <si>
    <t>Masa esfera</t>
  </si>
  <si>
    <t>948,1 g</t>
  </si>
  <si>
    <t>D = 46 cm</t>
  </si>
  <si>
    <t>Masa cilindro hueco</t>
  </si>
  <si>
    <t>399,5 g</t>
  </si>
  <si>
    <t>h = 9,05 cm</t>
  </si>
  <si>
    <t>d = 9,03 cm</t>
  </si>
  <si>
    <t>Masa cilindro macizo</t>
  </si>
  <si>
    <t>340,8 g</t>
  </si>
  <si>
    <t>h = 9,09 cm</t>
  </si>
  <si>
    <t>d = 8,94 cm</t>
  </si>
  <si>
    <t>Masa soporte (cilindro)</t>
  </si>
  <si>
    <t>134,7 g</t>
  </si>
  <si>
    <t>d 9,99 cm</t>
  </si>
  <si>
    <t>PARTE 2: PERIODO DE OSCILACIÓN DEL DISCO PERFORADO (ETIQUETA HACIA FUERA)</t>
  </si>
  <si>
    <t>Posición (cm)</t>
  </si>
  <si>
    <t>r^2</t>
  </si>
  <si>
    <t>0 (posición central)</t>
  </si>
  <si>
    <t>4 (posición 1 hacia nosotros)</t>
  </si>
  <si>
    <t>8 (posición 2 hacia nosotros)</t>
  </si>
  <si>
    <t>12 (posición 3 hacia nosotros)</t>
  </si>
  <si>
    <t>16 (posición 4 hacia nosotros)</t>
  </si>
  <si>
    <t>(*** Invertimos la placa ***)</t>
  </si>
  <si>
    <t xml:space="preserve">- 2 (posición central) </t>
  </si>
  <si>
    <t>- 4 (posición 1 hacia nosotros)</t>
  </si>
  <si>
    <t>- 8 (posición 2 hacia nosotros)</t>
  </si>
  <si>
    <t>- 12 (posición 3 hacia nosotros)</t>
  </si>
  <si>
    <t>- 16 (posición 4 hacia nosotros)</t>
  </si>
  <si>
    <t>PARTE 3: MEDIDAS ESFERA, CILINDRO HUECO, CILINDRO MACIZO</t>
  </si>
  <si>
    <t>ELEMENTO/S EMPLEADO/S</t>
  </si>
  <si>
    <t>SOPORTE</t>
  </si>
  <si>
    <t>SOPORTE + CILINDRO HUECO</t>
  </si>
  <si>
    <t>SOPORTE + CILINDRO MACIZO</t>
  </si>
  <si>
    <t>ESFERA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</si>
</sst>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11.63"/>
    <col customWidth="1" min="3" max="3" width="13.38"/>
    <col customWidth="1" min="4" max="4" width="17.38"/>
    <col customWidth="1" min="5" max="6" width="13.63"/>
    <col customWidth="1" min="7" max="7" width="14.75"/>
    <col customWidth="1" min="8" max="8" width="18.75"/>
    <col customWidth="1" min="9" max="9" width="29.25"/>
    <col customWidth="1" min="12" max="12" width="9.38"/>
    <col customWidth="1" min="21" max="21" width="22.13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U2" s="3" t="s">
        <v>1</v>
      </c>
      <c r="V2" s="3" t="s">
        <v>2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U3" s="3" t="s">
        <v>3</v>
      </c>
      <c r="V3" s="3" t="s">
        <v>4</v>
      </c>
      <c r="W3" s="3" t="s">
        <v>5</v>
      </c>
      <c r="X3" s="3" t="s">
        <v>6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U4" s="3" t="s">
        <v>19</v>
      </c>
      <c r="V4" s="3" t="s">
        <v>20</v>
      </c>
      <c r="W4" s="3" t="s">
        <v>5</v>
      </c>
      <c r="X4" s="3" t="s">
        <v>6</v>
      </c>
    </row>
    <row r="5">
      <c r="A5" s="1">
        <v>37.18</v>
      </c>
      <c r="B5" s="1"/>
      <c r="C5" s="1"/>
      <c r="D5" s="1"/>
      <c r="E5" s="1"/>
      <c r="F5" s="1"/>
      <c r="G5" s="1"/>
      <c r="H5" s="1"/>
      <c r="I5" s="1">
        <v>1.0</v>
      </c>
      <c r="J5" s="1">
        <v>30.0</v>
      </c>
      <c r="K5" s="2"/>
      <c r="L5" s="2"/>
      <c r="U5" s="3" t="s">
        <v>21</v>
      </c>
      <c r="V5" s="3" t="s">
        <v>22</v>
      </c>
    </row>
    <row r="6">
      <c r="A6" s="1">
        <v>37.5</v>
      </c>
      <c r="B6" s="2"/>
      <c r="C6" s="1"/>
      <c r="D6" s="2"/>
      <c r="E6" s="2"/>
      <c r="F6" s="2"/>
      <c r="G6" s="2"/>
      <c r="H6" s="2"/>
      <c r="I6" s="2"/>
      <c r="J6" s="1">
        <v>30.0</v>
      </c>
      <c r="K6" s="2"/>
      <c r="L6" s="2"/>
      <c r="U6" s="3" t="s">
        <v>23</v>
      </c>
      <c r="V6" s="3" t="s">
        <v>24</v>
      </c>
      <c r="X6" s="3" t="s">
        <v>25</v>
      </c>
    </row>
    <row r="7">
      <c r="A7" s="1">
        <v>37.66</v>
      </c>
      <c r="B7" s="2">
        <f> (A5+A6+A7)/3</f>
        <v>37.44666667</v>
      </c>
      <c r="C7" s="1">
        <f> B7/5</f>
        <v>7.489333333</v>
      </c>
      <c r="D7" s="2">
        <f> STDEV(A5:A7)</f>
        <v>0.2444040371</v>
      </c>
      <c r="E7" s="2">
        <f> D7/SQRT(3)</f>
        <v>0.1411067366</v>
      </c>
      <c r="F7" s="2">
        <f> SQRT(E7^2+0.01^2/12)</f>
        <v>0.141136262</v>
      </c>
      <c r="G7" s="2">
        <f> F7/5</f>
        <v>0.0282272524</v>
      </c>
      <c r="H7" s="2">
        <f> 2*C7*G7</f>
        <v>0.4228066045</v>
      </c>
      <c r="I7" s="2"/>
      <c r="J7" s="1">
        <v>30.0</v>
      </c>
      <c r="K7" s="2">
        <f> C7^2</f>
        <v>56.09011378</v>
      </c>
      <c r="L7" s="2">
        <f>J7^2</f>
        <v>900</v>
      </c>
      <c r="U7" s="3" t="s">
        <v>26</v>
      </c>
      <c r="V7" s="3" t="s">
        <v>27</v>
      </c>
      <c r="W7" s="3" t="s">
        <v>28</v>
      </c>
      <c r="X7" s="3" t="s">
        <v>29</v>
      </c>
    </row>
    <row r="8">
      <c r="A8" s="1">
        <v>31.87</v>
      </c>
      <c r="B8" s="1"/>
      <c r="C8" s="1"/>
      <c r="D8" s="1"/>
      <c r="E8" s="2"/>
      <c r="F8" s="1"/>
      <c r="G8" s="2"/>
      <c r="H8" s="2"/>
      <c r="I8" s="1">
        <v>2.0</v>
      </c>
      <c r="J8" s="1">
        <v>25.0</v>
      </c>
      <c r="K8" s="2"/>
      <c r="L8" s="2"/>
      <c r="U8" s="3" t="s">
        <v>30</v>
      </c>
      <c r="V8" s="3" t="s">
        <v>31</v>
      </c>
      <c r="W8" s="3" t="s">
        <v>32</v>
      </c>
      <c r="X8" s="3" t="s">
        <v>33</v>
      </c>
    </row>
    <row r="9">
      <c r="A9" s="1">
        <v>31.87</v>
      </c>
      <c r="B9" s="2"/>
      <c r="C9" s="1"/>
      <c r="D9" s="2"/>
      <c r="E9" s="2"/>
      <c r="F9" s="2"/>
      <c r="G9" s="2"/>
      <c r="H9" s="2"/>
      <c r="I9" s="2"/>
      <c r="J9" s="1">
        <v>25.0</v>
      </c>
      <c r="K9" s="2"/>
      <c r="L9" s="2"/>
      <c r="U9" s="3" t="s">
        <v>34</v>
      </c>
      <c r="V9" s="3" t="s">
        <v>35</v>
      </c>
      <c r="X9" s="3" t="s">
        <v>36</v>
      </c>
    </row>
    <row r="10">
      <c r="A10" s="1">
        <v>32.09</v>
      </c>
      <c r="B10" s="2">
        <f> (A8+A9+A10)/3</f>
        <v>31.94333333</v>
      </c>
      <c r="C10" s="1">
        <f> B10/5</f>
        <v>6.388666667</v>
      </c>
      <c r="D10" s="2">
        <f> STDEV(A8:A10)</f>
        <v>0.1270170592</v>
      </c>
      <c r="E10" s="2">
        <f> D10/SQRT(3)</f>
        <v>0.07333333333</v>
      </c>
      <c r="F10" s="2">
        <f> SQRT(E10^2+0.01^2/12)</f>
        <v>0.07339012952</v>
      </c>
      <c r="G10" s="2">
        <f> F10/5</f>
        <v>0.0146780259</v>
      </c>
      <c r="H10" s="2">
        <f> 2*C10*G10</f>
        <v>0.1875460297</v>
      </c>
      <c r="I10" s="2"/>
      <c r="J10" s="1">
        <v>25.0</v>
      </c>
      <c r="K10" s="2">
        <f> C10^2</f>
        <v>40.81506178</v>
      </c>
      <c r="L10" s="2">
        <f>J10^2</f>
        <v>625</v>
      </c>
    </row>
    <row r="11">
      <c r="A11" s="1">
        <v>26.18</v>
      </c>
      <c r="B11" s="1"/>
      <c r="C11" s="1"/>
      <c r="D11" s="1"/>
      <c r="E11" s="2"/>
      <c r="F11" s="1"/>
      <c r="G11" s="2"/>
      <c r="H11" s="2"/>
      <c r="I11" s="1">
        <v>3.0</v>
      </c>
      <c r="J11" s="1">
        <v>20.0</v>
      </c>
      <c r="K11" s="2"/>
      <c r="L11" s="2"/>
    </row>
    <row r="12">
      <c r="A12" s="1">
        <v>26.35</v>
      </c>
      <c r="B12" s="2"/>
      <c r="C12" s="1"/>
      <c r="D12" s="2"/>
      <c r="E12" s="2"/>
      <c r="F12" s="2"/>
      <c r="G12" s="2"/>
      <c r="H12" s="2"/>
      <c r="I12" s="2"/>
      <c r="J12" s="1">
        <v>20.0</v>
      </c>
      <c r="K12" s="2"/>
      <c r="L12" s="2"/>
    </row>
    <row r="13">
      <c r="A13" s="1">
        <v>25.97</v>
      </c>
      <c r="B13" s="2">
        <f> (A11+A12+A13)/3</f>
        <v>26.16666667</v>
      </c>
      <c r="C13" s="1">
        <f> B13/5</f>
        <v>5.233333333</v>
      </c>
      <c r="D13" s="2">
        <f> STDEV(A11:A13)</f>
        <v>0.1903505538</v>
      </c>
      <c r="E13" s="2">
        <f> D13/SQRT(3)</f>
        <v>0.1098989435</v>
      </c>
      <c r="F13" s="2">
        <f> SQRT(E13^2+0.01^2/12)</f>
        <v>0.1099368506</v>
      </c>
      <c r="G13" s="2">
        <f> F13/5</f>
        <v>0.02198737011</v>
      </c>
      <c r="H13" s="2">
        <f> 2*C13*G13</f>
        <v>0.2301344738</v>
      </c>
      <c r="I13" s="2"/>
      <c r="J13" s="1">
        <v>20.0</v>
      </c>
      <c r="K13" s="2">
        <f> C13^2</f>
        <v>27.38777778</v>
      </c>
      <c r="L13" s="2">
        <f>J13^2</f>
        <v>400</v>
      </c>
    </row>
    <row r="14">
      <c r="A14" s="1">
        <v>20.78</v>
      </c>
      <c r="B14" s="1"/>
      <c r="C14" s="1"/>
      <c r="D14" s="1"/>
      <c r="E14" s="2"/>
      <c r="F14" s="1"/>
      <c r="G14" s="2"/>
      <c r="H14" s="2"/>
      <c r="I14" s="1">
        <v>4.0</v>
      </c>
      <c r="J14" s="1">
        <v>15.0</v>
      </c>
      <c r="K14" s="2"/>
      <c r="L14" s="2"/>
    </row>
    <row r="15">
      <c r="A15" s="1">
        <v>20.85</v>
      </c>
      <c r="B15" s="2"/>
      <c r="C15" s="1"/>
      <c r="D15" s="2"/>
      <c r="E15" s="2"/>
      <c r="F15" s="2"/>
      <c r="G15" s="2"/>
      <c r="H15" s="2"/>
      <c r="I15" s="2"/>
      <c r="J15" s="1">
        <v>15.0</v>
      </c>
      <c r="K15" s="2"/>
      <c r="L15" s="2"/>
    </row>
    <row r="16">
      <c r="A16" s="1">
        <v>20.87</v>
      </c>
      <c r="B16" s="2">
        <f> (A14+A15+A16)/3</f>
        <v>20.83333333</v>
      </c>
      <c r="C16" s="1">
        <f> B16/5</f>
        <v>4.166666667</v>
      </c>
      <c r="D16" s="2">
        <f> STDEV(A14:A16)</f>
        <v>0.04725815626</v>
      </c>
      <c r="E16" s="2">
        <f> D16/SQRT(3)</f>
        <v>0.02728450924</v>
      </c>
      <c r="F16" s="2">
        <f> SQRT(E16^2+0.01^2/12)</f>
        <v>0.02743679606</v>
      </c>
      <c r="G16" s="2">
        <f> F16/5</f>
        <v>0.005487359211</v>
      </c>
      <c r="H16" s="2">
        <f> 2*C16*G16</f>
        <v>0.04572799343</v>
      </c>
      <c r="I16" s="2"/>
      <c r="J16" s="1">
        <v>15.0</v>
      </c>
      <c r="K16" s="2">
        <f> C16^2</f>
        <v>17.36111111</v>
      </c>
      <c r="L16" s="2">
        <f>J16^2</f>
        <v>225</v>
      </c>
    </row>
    <row r="17">
      <c r="A17" s="1">
        <v>16.28</v>
      </c>
      <c r="B17" s="1"/>
      <c r="C17" s="1"/>
      <c r="D17" s="1"/>
      <c r="E17" s="2"/>
      <c r="F17" s="1"/>
      <c r="G17" s="2"/>
      <c r="H17" s="2"/>
      <c r="I17" s="1">
        <v>5.0</v>
      </c>
      <c r="J17" s="1">
        <v>10.0</v>
      </c>
      <c r="K17" s="2"/>
      <c r="L17" s="2"/>
    </row>
    <row r="18">
      <c r="A18" s="1">
        <v>16.37</v>
      </c>
      <c r="B18" s="2"/>
      <c r="C18" s="1"/>
      <c r="D18" s="2"/>
      <c r="E18" s="2"/>
      <c r="F18" s="2"/>
      <c r="G18" s="2"/>
      <c r="H18" s="2"/>
      <c r="I18" s="2"/>
      <c r="J18" s="1">
        <v>10.0</v>
      </c>
      <c r="K18" s="2"/>
      <c r="L18" s="2"/>
    </row>
    <row r="19">
      <c r="A19" s="1">
        <v>16.09</v>
      </c>
      <c r="B19" s="2">
        <f> (A17+A18+A19)/3</f>
        <v>16.24666667</v>
      </c>
      <c r="C19" s="1">
        <f> B19/5</f>
        <v>3.249333333</v>
      </c>
      <c r="D19" s="2">
        <f> STDEV(A17:A19)</f>
        <v>0.1429452109</v>
      </c>
      <c r="E19" s="2">
        <f> D19/SQRT(3)</f>
        <v>0.08252945602</v>
      </c>
      <c r="F19" s="2">
        <f> SQRT(E19^2+0.01^2/12)</f>
        <v>0.08257992761</v>
      </c>
      <c r="G19" s="2">
        <f> F19/5</f>
        <v>0.01651598552</v>
      </c>
      <c r="H19" s="2">
        <f> 2*C19*G19</f>
        <v>0.1073318846</v>
      </c>
      <c r="I19" s="2"/>
      <c r="J19" s="1">
        <v>10.0</v>
      </c>
      <c r="K19" s="2">
        <f> C19^2</f>
        <v>10.55816711</v>
      </c>
      <c r="L19" s="2">
        <f>J19^2</f>
        <v>100</v>
      </c>
    </row>
    <row r="20">
      <c r="A20" s="1">
        <v>12.87</v>
      </c>
      <c r="B20" s="1"/>
      <c r="C20" s="1"/>
      <c r="D20" s="1"/>
      <c r="E20" s="2"/>
      <c r="F20" s="1"/>
      <c r="G20" s="2"/>
      <c r="H20" s="2"/>
      <c r="I20" s="1">
        <v>6.0</v>
      </c>
      <c r="J20" s="1">
        <v>5.0</v>
      </c>
      <c r="K20" s="2"/>
      <c r="L20" s="2"/>
    </row>
    <row r="21">
      <c r="A21" s="1">
        <v>12.53</v>
      </c>
      <c r="B21" s="2"/>
      <c r="C21" s="1"/>
      <c r="D21" s="2"/>
      <c r="E21" s="2"/>
      <c r="F21" s="2"/>
      <c r="G21" s="2"/>
      <c r="H21" s="2"/>
      <c r="I21" s="2"/>
      <c r="J21" s="1">
        <v>5.0</v>
      </c>
      <c r="K21" s="2"/>
      <c r="L21" s="2"/>
    </row>
    <row r="22">
      <c r="A22" s="1">
        <v>12.32</v>
      </c>
      <c r="B22" s="2">
        <f> (A20+A21+A22)/3</f>
        <v>12.57333333</v>
      </c>
      <c r="C22" s="1">
        <f> B22/5</f>
        <v>2.514666667</v>
      </c>
      <c r="D22" s="2">
        <f> STDEV(A20:A22)</f>
        <v>0.2775487945</v>
      </c>
      <c r="E22" s="2">
        <f> D22/SQRT(3)</f>
        <v>0.1602428712</v>
      </c>
      <c r="F22" s="2">
        <f> SQRT(E22^2+0.01^2/12)</f>
        <v>0.1602688713</v>
      </c>
      <c r="G22" s="2">
        <f> F22/5</f>
        <v>0.03205377426</v>
      </c>
      <c r="H22" s="2">
        <f> 2*C22*G22</f>
        <v>0.1612091154</v>
      </c>
      <c r="I22" s="2"/>
      <c r="J22" s="1">
        <v>5.0</v>
      </c>
      <c r="K22" s="2">
        <f> C22^2</f>
        <v>6.323548444</v>
      </c>
      <c r="L22" s="2">
        <f>J22^2</f>
        <v>25</v>
      </c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6">
      <c r="A26" s="4" t="s">
        <v>37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>
      <c r="A28" s="4" t="s">
        <v>7</v>
      </c>
      <c r="B28" s="4" t="s">
        <v>8</v>
      </c>
      <c r="C28" s="4" t="s">
        <v>9</v>
      </c>
      <c r="D28" s="4" t="s">
        <v>10</v>
      </c>
      <c r="E28" s="4" t="s">
        <v>11</v>
      </c>
      <c r="F28" s="4" t="s">
        <v>12</v>
      </c>
      <c r="G28" s="4" t="s">
        <v>13</v>
      </c>
      <c r="H28" s="4" t="s">
        <v>14</v>
      </c>
      <c r="I28" s="4" t="s">
        <v>38</v>
      </c>
      <c r="J28" s="5"/>
      <c r="K28" s="4" t="s">
        <v>17</v>
      </c>
      <c r="L28" s="4" t="s">
        <v>39</v>
      </c>
    </row>
    <row r="29">
      <c r="A29" s="4">
        <v>20.41</v>
      </c>
      <c r="B29" s="4"/>
      <c r="C29" s="4"/>
      <c r="D29" s="4"/>
      <c r="E29" s="4"/>
      <c r="F29" s="4"/>
      <c r="G29" s="4"/>
      <c r="H29" s="4"/>
      <c r="I29" s="4" t="s">
        <v>40</v>
      </c>
      <c r="J29" s="5"/>
      <c r="K29" s="5"/>
      <c r="L29" s="4">
        <v>0.0</v>
      </c>
    </row>
    <row r="30">
      <c r="A30" s="4">
        <v>20.85</v>
      </c>
      <c r="B30" s="5"/>
      <c r="C30" s="4"/>
      <c r="D30" s="5"/>
      <c r="E30" s="5"/>
      <c r="F30" s="5"/>
      <c r="G30" s="5"/>
      <c r="H30" s="5"/>
      <c r="I30" s="5"/>
      <c r="J30" s="5"/>
      <c r="K30" s="5"/>
      <c r="L30" s="5"/>
    </row>
    <row r="31">
      <c r="A31" s="4">
        <v>20.53</v>
      </c>
      <c r="B31" s="5">
        <f> (A29+A30+A31)/3</f>
        <v>20.59666667</v>
      </c>
      <c r="C31" s="6">
        <f> B31/5</f>
        <v>4.119333333</v>
      </c>
      <c r="D31" s="7">
        <f> STDEV(A29:A31)</f>
        <v>0.2274496281</v>
      </c>
      <c r="E31" s="5">
        <f> D31/SQRT(3)</f>
        <v>0.131318104</v>
      </c>
      <c r="F31" s="5">
        <f> SQRT(E31^2+0.01^2/12)</f>
        <v>0.1313498298</v>
      </c>
      <c r="G31" s="5">
        <f> F31/5</f>
        <v>0.02626996595</v>
      </c>
      <c r="H31" s="5">
        <f> 2*C31*G31</f>
        <v>0.2164294928</v>
      </c>
      <c r="I31" s="5"/>
      <c r="J31" s="5"/>
      <c r="K31" s="5">
        <f>B31^2</f>
        <v>424.2226778</v>
      </c>
      <c r="L31" s="5"/>
    </row>
    <row r="32">
      <c r="A32" s="4">
        <v>20.0</v>
      </c>
      <c r="B32" s="4"/>
      <c r="C32" s="4"/>
      <c r="D32" s="4"/>
      <c r="E32" s="4"/>
      <c r="F32" s="4"/>
      <c r="G32" s="5"/>
      <c r="H32" s="5"/>
      <c r="I32" s="4" t="s">
        <v>41</v>
      </c>
      <c r="J32" s="5"/>
      <c r="K32" s="5"/>
      <c r="L32" s="4">
        <v>16.0</v>
      </c>
    </row>
    <row r="33">
      <c r="A33" s="4">
        <v>19.94</v>
      </c>
      <c r="B33" s="5"/>
      <c r="C33" s="4"/>
      <c r="D33" s="5"/>
      <c r="E33" s="5"/>
      <c r="F33" s="5"/>
      <c r="G33" s="5"/>
      <c r="H33" s="5"/>
      <c r="I33" s="5"/>
      <c r="J33" s="5"/>
      <c r="K33" s="5"/>
      <c r="L33" s="5"/>
    </row>
    <row r="34">
      <c r="A34" s="4">
        <v>19.78</v>
      </c>
      <c r="B34" s="5">
        <f> (A32+A33+A34)/3</f>
        <v>19.90666667</v>
      </c>
      <c r="C34" s="6">
        <f> B34/5</f>
        <v>3.981333333</v>
      </c>
      <c r="D34" s="7">
        <f> STDEV(A32:A34)</f>
        <v>0.1137248141</v>
      </c>
      <c r="E34" s="5">
        <f> D34/SQRT(3)</f>
        <v>0.06565905201</v>
      </c>
      <c r="F34" s="5">
        <f> SQRT(E34^2+0.01^2/12)</f>
        <v>0.06572248051</v>
      </c>
      <c r="G34" s="5">
        <f> F34/5</f>
        <v>0.0131444961</v>
      </c>
      <c r="H34" s="5">
        <f> 2*C34*G34</f>
        <v>0.104665241</v>
      </c>
      <c r="I34" s="5"/>
      <c r="J34" s="5"/>
      <c r="K34" s="5">
        <f>B34^2</f>
        <v>396.2753778</v>
      </c>
      <c r="L34" s="5"/>
    </row>
    <row r="35">
      <c r="A35" s="4">
        <v>20.41</v>
      </c>
      <c r="B35" s="4"/>
      <c r="C35" s="4"/>
      <c r="D35" s="4"/>
      <c r="E35" s="4"/>
      <c r="F35" s="4"/>
      <c r="G35" s="5"/>
      <c r="H35" s="5"/>
      <c r="I35" s="4" t="s">
        <v>42</v>
      </c>
      <c r="J35" s="5"/>
      <c r="K35" s="5"/>
      <c r="L35" s="4">
        <v>64.0</v>
      </c>
    </row>
    <row r="36">
      <c r="A36" s="4">
        <v>20.91</v>
      </c>
      <c r="B36" s="5"/>
      <c r="C36" s="4"/>
      <c r="D36" s="5"/>
      <c r="E36" s="5"/>
      <c r="F36" s="5"/>
      <c r="G36" s="5"/>
      <c r="H36" s="5"/>
      <c r="I36" s="5"/>
      <c r="J36" s="5"/>
      <c r="K36" s="5"/>
      <c r="L36" s="5"/>
    </row>
    <row r="37">
      <c r="A37" s="4">
        <v>21.06</v>
      </c>
      <c r="B37" s="5">
        <f> (A35+A36+A37)/3</f>
        <v>20.79333333</v>
      </c>
      <c r="C37" s="6">
        <f> B37/5</f>
        <v>4.158666667</v>
      </c>
      <c r="D37" s="7">
        <f> STDEV(A35:A37)</f>
        <v>0.3403429643</v>
      </c>
      <c r="E37" s="5">
        <f> D37/SQRT(3)</f>
        <v>0.196497102</v>
      </c>
      <c r="F37" s="5">
        <f> SQRT(E37^2+0.01^2/12)</f>
        <v>0.1965183056</v>
      </c>
      <c r="G37" s="5">
        <f> F37/5</f>
        <v>0.03930366112</v>
      </c>
      <c r="H37" s="5">
        <f> 2*C37*G37</f>
        <v>0.3269016508</v>
      </c>
      <c r="I37" s="5"/>
      <c r="J37" s="5"/>
      <c r="K37" s="5">
        <f>B37^2</f>
        <v>432.3627111</v>
      </c>
      <c r="L37" s="5"/>
    </row>
    <row r="38">
      <c r="A38" s="4">
        <v>22.5</v>
      </c>
      <c r="B38" s="4"/>
      <c r="C38" s="4"/>
      <c r="D38" s="4"/>
      <c r="E38" s="4"/>
      <c r="F38" s="4"/>
      <c r="G38" s="5"/>
      <c r="H38" s="5"/>
      <c r="I38" s="4" t="s">
        <v>43</v>
      </c>
      <c r="J38" s="5"/>
      <c r="K38" s="5"/>
      <c r="L38" s="4">
        <v>144.0</v>
      </c>
    </row>
    <row r="39">
      <c r="A39" s="4">
        <v>22.22</v>
      </c>
      <c r="B39" s="5"/>
      <c r="C39" s="4"/>
      <c r="D39" s="5"/>
      <c r="E39" s="5"/>
      <c r="F39" s="5"/>
      <c r="G39" s="5"/>
      <c r="H39" s="5"/>
      <c r="I39" s="5"/>
      <c r="J39" s="5"/>
      <c r="K39" s="5"/>
      <c r="L39" s="5"/>
    </row>
    <row r="40">
      <c r="A40" s="4">
        <v>22.94</v>
      </c>
      <c r="B40" s="5">
        <f> (A38+A39+A40)/3</f>
        <v>22.55333333</v>
      </c>
      <c r="C40" s="6">
        <f> B40/5</f>
        <v>4.510666667</v>
      </c>
      <c r="D40" s="7">
        <f> STDEV(A38:A40)</f>
        <v>0.362950869</v>
      </c>
      <c r="E40" s="5">
        <f> D40/SQRT(3)</f>
        <v>0.2095497819</v>
      </c>
      <c r="F40" s="5">
        <f> SQRT(E40^2+0.01^2/12)</f>
        <v>0.2095696649</v>
      </c>
      <c r="G40" s="5">
        <f> F40/5</f>
        <v>0.04191393298</v>
      </c>
      <c r="H40" s="5">
        <f> 2*C40*G40</f>
        <v>0.3781195607</v>
      </c>
      <c r="I40" s="5"/>
      <c r="J40" s="5"/>
      <c r="K40" s="5">
        <f>B40^2</f>
        <v>508.6528444</v>
      </c>
      <c r="L40" s="5"/>
    </row>
    <row r="41">
      <c r="A41" s="4">
        <v>25.44</v>
      </c>
      <c r="B41" s="4"/>
      <c r="C41" s="4"/>
      <c r="D41" s="4"/>
      <c r="E41" s="4"/>
      <c r="F41" s="4"/>
      <c r="G41" s="5"/>
      <c r="H41" s="5"/>
      <c r="I41" s="4" t="s">
        <v>44</v>
      </c>
      <c r="J41" s="5"/>
      <c r="K41" s="5"/>
      <c r="L41" s="4">
        <v>256.0</v>
      </c>
    </row>
    <row r="42">
      <c r="A42" s="4">
        <v>24.82</v>
      </c>
      <c r="B42" s="5"/>
      <c r="C42" s="4"/>
      <c r="D42" s="5"/>
      <c r="E42" s="5"/>
      <c r="F42" s="5"/>
      <c r="G42" s="5"/>
      <c r="H42" s="5"/>
      <c r="I42" s="5"/>
      <c r="J42" s="5"/>
      <c r="K42" s="5"/>
      <c r="L42" s="5"/>
    </row>
    <row r="43">
      <c r="A43" s="4">
        <v>25.28</v>
      </c>
      <c r="B43" s="5">
        <f> (A41+A42+A43)/3</f>
        <v>25.18</v>
      </c>
      <c r="C43" s="6">
        <f> B43/5</f>
        <v>5.036</v>
      </c>
      <c r="D43" s="7">
        <f> STDEV(A41:A43)</f>
        <v>0.3218695388</v>
      </c>
      <c r="E43" s="5">
        <f> D43/SQRT(3)</f>
        <v>0.1858314649</v>
      </c>
      <c r="F43" s="5">
        <f> SQRT(E43^2+0.01^2/12)</f>
        <v>0.1858538853</v>
      </c>
      <c r="G43" s="5">
        <f> F43/5</f>
        <v>0.03717077705</v>
      </c>
      <c r="H43" s="5">
        <f> 2*C43*G43</f>
        <v>0.3743840665</v>
      </c>
      <c r="I43" s="5"/>
      <c r="J43" s="5"/>
      <c r="K43" s="5">
        <f>B43^2</f>
        <v>634.0324</v>
      </c>
      <c r="L43" s="5"/>
    </row>
    <row r="44">
      <c r="A44" s="4" t="s">
        <v>45</v>
      </c>
      <c r="B44" s="5"/>
      <c r="C44" s="4"/>
      <c r="D44" s="5"/>
      <c r="E44" s="5"/>
      <c r="F44" s="5"/>
      <c r="G44" s="5"/>
      <c r="H44" s="5"/>
      <c r="I44" s="5"/>
      <c r="J44" s="5"/>
      <c r="K44" s="5"/>
      <c r="L44" s="5"/>
    </row>
    <row r="45">
      <c r="A45" s="4">
        <v>19.91</v>
      </c>
      <c r="B45" s="4"/>
      <c r="C45" s="4"/>
      <c r="D45" s="4"/>
      <c r="E45" s="4"/>
      <c r="F45" s="4"/>
      <c r="G45" s="5"/>
      <c r="H45" s="5"/>
      <c r="I45" s="4" t="s">
        <v>46</v>
      </c>
      <c r="J45" s="5"/>
      <c r="K45" s="5"/>
      <c r="L45" s="4">
        <v>4.0</v>
      </c>
    </row>
    <row r="46">
      <c r="A46" s="4">
        <v>20.18</v>
      </c>
      <c r="B46" s="5"/>
      <c r="C46" s="4"/>
      <c r="D46" s="5"/>
      <c r="E46" s="5"/>
      <c r="F46" s="5"/>
      <c r="G46" s="5"/>
      <c r="H46" s="5"/>
      <c r="I46" s="5"/>
      <c r="J46" s="5"/>
      <c r="K46" s="5"/>
      <c r="L46" s="5"/>
    </row>
    <row r="47">
      <c r="A47" s="4">
        <v>20.13</v>
      </c>
      <c r="B47" s="5">
        <f> (A45+A46+A47)/3</f>
        <v>20.07333333</v>
      </c>
      <c r="C47" s="6">
        <f> B47/5</f>
        <v>4.014666667</v>
      </c>
      <c r="D47" s="7">
        <f> STDEV(A45:A47)</f>
        <v>0.1436430762</v>
      </c>
      <c r="E47" s="5">
        <f> D47/SQRT(3)</f>
        <v>0.0829323687</v>
      </c>
      <c r="F47" s="5">
        <f> SQRT(E47^2+0.01^2/12)</f>
        <v>0.08298259523</v>
      </c>
      <c r="G47" s="5">
        <f> F47/5</f>
        <v>0.01659651905</v>
      </c>
      <c r="H47" s="5">
        <f> 2*C47*G47</f>
        <v>0.1332589836</v>
      </c>
      <c r="I47" s="5"/>
      <c r="J47" s="5"/>
      <c r="K47" s="5">
        <f>B47^2</f>
        <v>402.9387111</v>
      </c>
      <c r="L47" s="5"/>
    </row>
    <row r="48">
      <c r="A48" s="4">
        <v>19.75</v>
      </c>
      <c r="B48" s="4"/>
      <c r="C48" s="4"/>
      <c r="D48" s="4"/>
      <c r="E48" s="4"/>
      <c r="F48" s="4"/>
      <c r="G48" s="5"/>
      <c r="H48" s="5"/>
      <c r="I48" s="4" t="s">
        <v>47</v>
      </c>
      <c r="J48" s="5"/>
      <c r="K48" s="5"/>
      <c r="L48" s="4">
        <v>16.0</v>
      </c>
    </row>
    <row r="49">
      <c r="A49" s="4">
        <v>19.59</v>
      </c>
      <c r="B49" s="5"/>
      <c r="C49" s="4"/>
      <c r="D49" s="5"/>
      <c r="E49" s="5"/>
      <c r="F49" s="5"/>
      <c r="G49" s="5"/>
      <c r="H49" s="5"/>
      <c r="I49" s="5"/>
      <c r="J49" s="5"/>
      <c r="K49" s="5"/>
      <c r="L49" s="5"/>
    </row>
    <row r="50">
      <c r="A50" s="4">
        <v>19.44</v>
      </c>
      <c r="B50" s="5">
        <f> (A48+A49+A50)/3</f>
        <v>19.59333333</v>
      </c>
      <c r="C50" s="6">
        <f> B50/5</f>
        <v>3.918666667</v>
      </c>
      <c r="D50" s="7">
        <f> STDEV(A48:A50)</f>
        <v>0.1550268794</v>
      </c>
      <c r="E50" s="5">
        <f> D50/SQRT(3)</f>
        <v>0.08950481055</v>
      </c>
      <c r="F50" s="5">
        <f> SQRT(E50^2+0.01^2/12)</f>
        <v>0.08955135088</v>
      </c>
      <c r="G50" s="5">
        <f> F50/5</f>
        <v>0.01791027018</v>
      </c>
      <c r="H50" s="5">
        <f> 2*C50*G50</f>
        <v>0.1403687575</v>
      </c>
      <c r="I50" s="5"/>
      <c r="J50" s="5"/>
      <c r="K50" s="5">
        <f>B50^2</f>
        <v>383.8987111</v>
      </c>
      <c r="L50" s="5"/>
    </row>
    <row r="51">
      <c r="A51" s="4">
        <v>20.63</v>
      </c>
      <c r="B51" s="4"/>
      <c r="C51" s="4"/>
      <c r="D51" s="4"/>
      <c r="E51" s="4"/>
      <c r="F51" s="4"/>
      <c r="G51" s="5"/>
      <c r="H51" s="5"/>
      <c r="I51" s="4" t="s">
        <v>48</v>
      </c>
      <c r="J51" s="5"/>
      <c r="K51" s="5"/>
      <c r="L51" s="4">
        <v>64.0</v>
      </c>
    </row>
    <row r="52">
      <c r="A52" s="4">
        <v>20.68</v>
      </c>
      <c r="B52" s="5"/>
      <c r="C52" s="4"/>
      <c r="D52" s="5"/>
      <c r="E52" s="5"/>
      <c r="F52" s="5"/>
      <c r="G52" s="5"/>
      <c r="H52" s="5"/>
      <c r="I52" s="5"/>
      <c r="J52" s="5"/>
      <c r="K52" s="5"/>
      <c r="L52" s="5"/>
    </row>
    <row r="53">
      <c r="A53" s="4">
        <v>20.87</v>
      </c>
      <c r="B53" s="5">
        <f> (A51+A52+A53)/3</f>
        <v>20.72666667</v>
      </c>
      <c r="C53" s="6">
        <f> B53/5</f>
        <v>4.145333333</v>
      </c>
      <c r="D53" s="7">
        <f> STDEV(A51:A53)</f>
        <v>0.1266227994</v>
      </c>
      <c r="E53" s="5">
        <f> D53/SQRT(3)</f>
        <v>0.07310570733</v>
      </c>
      <c r="F53" s="5">
        <f> SQRT(E53^2+0.01^2/12)</f>
        <v>0.07316268023</v>
      </c>
      <c r="G53" s="5">
        <f> F53/5</f>
        <v>0.01463253605</v>
      </c>
      <c r="H53" s="5">
        <f> 2*C53*G53</f>
        <v>0.1213134788</v>
      </c>
      <c r="I53" s="5"/>
      <c r="J53" s="5"/>
      <c r="K53" s="5">
        <f>B53^2</f>
        <v>429.5947111</v>
      </c>
      <c r="L53" s="5"/>
    </row>
    <row r="54">
      <c r="A54" s="4">
        <v>21.75</v>
      </c>
      <c r="B54" s="4"/>
      <c r="C54" s="4"/>
      <c r="D54" s="4"/>
      <c r="E54" s="4"/>
      <c r="F54" s="4"/>
      <c r="G54" s="5"/>
      <c r="H54" s="5"/>
      <c r="I54" s="4" t="s">
        <v>49</v>
      </c>
      <c r="J54" s="5"/>
      <c r="K54" s="5"/>
      <c r="L54" s="4">
        <v>144.0</v>
      </c>
    </row>
    <row r="55">
      <c r="A55" s="4">
        <v>22.06</v>
      </c>
      <c r="B55" s="5"/>
      <c r="C55" s="4"/>
      <c r="D55" s="5"/>
      <c r="E55" s="5"/>
      <c r="F55" s="5"/>
      <c r="G55" s="5"/>
      <c r="H55" s="5"/>
      <c r="I55" s="5"/>
      <c r="J55" s="5"/>
      <c r="K55" s="5"/>
      <c r="L55" s="5"/>
    </row>
    <row r="56">
      <c r="A56" s="4">
        <v>21.75</v>
      </c>
      <c r="B56" s="5">
        <f> (A54+A55+A56)/3</f>
        <v>21.85333333</v>
      </c>
      <c r="C56" s="6">
        <f> B56/5</f>
        <v>4.370666667</v>
      </c>
      <c r="D56" s="7">
        <f> STDEV(A54:A56)</f>
        <v>0.1789785834</v>
      </c>
      <c r="E56" s="5">
        <f> D56/SQRT(3)</f>
        <v>0.1033333333</v>
      </c>
      <c r="F56" s="5">
        <f> SQRT(E56^2+0.01^2/12)</f>
        <v>0.103373648</v>
      </c>
      <c r="G56" s="5">
        <f> F56/5</f>
        <v>0.02067472961</v>
      </c>
      <c r="H56" s="5">
        <f> 2*C56*G56</f>
        <v>0.1807247031</v>
      </c>
      <c r="I56" s="5"/>
      <c r="J56" s="5"/>
      <c r="K56" s="5">
        <f>B56^2</f>
        <v>477.5681778</v>
      </c>
      <c r="L56" s="5"/>
    </row>
    <row r="57">
      <c r="A57" s="4">
        <v>24.09</v>
      </c>
      <c r="B57" s="4"/>
      <c r="C57" s="4"/>
      <c r="D57" s="4"/>
      <c r="E57" s="4"/>
      <c r="F57" s="4"/>
      <c r="G57" s="5"/>
      <c r="H57" s="5"/>
      <c r="I57" s="4" t="s">
        <v>50</v>
      </c>
      <c r="J57" s="5"/>
      <c r="K57" s="5"/>
      <c r="L57" s="4">
        <v>256.0</v>
      </c>
    </row>
    <row r="58">
      <c r="A58" s="4">
        <v>23.85</v>
      </c>
      <c r="B58" s="5"/>
      <c r="C58" s="4"/>
      <c r="D58" s="5"/>
      <c r="E58" s="5"/>
      <c r="F58" s="5"/>
      <c r="G58" s="5"/>
      <c r="H58" s="5"/>
      <c r="I58" s="5"/>
      <c r="J58" s="5"/>
      <c r="K58" s="5"/>
      <c r="L58" s="5"/>
    </row>
    <row r="59">
      <c r="A59" s="4">
        <v>24.16</v>
      </c>
      <c r="B59" s="5">
        <f> (A57+A58+A59)/3</f>
        <v>24.03333333</v>
      </c>
      <c r="C59" s="6">
        <f> B59/5</f>
        <v>4.806666667</v>
      </c>
      <c r="D59" s="7">
        <f> STDEV(A57:A59)</f>
        <v>0.162583312</v>
      </c>
      <c r="E59" s="5">
        <f> D59/SQRT(3)</f>
        <v>0.09386751894</v>
      </c>
      <c r="F59" s="5">
        <f> SQRT(E59^2+0.01^2/12)</f>
        <v>0.09391189725</v>
      </c>
      <c r="G59" s="7">
        <f> F59/5</f>
        <v>0.01878237945</v>
      </c>
      <c r="H59" s="7">
        <f> 2*C59*G59</f>
        <v>0.1805612744</v>
      </c>
      <c r="I59" s="5"/>
      <c r="J59" s="5"/>
      <c r="K59" s="5">
        <f>B59^2</f>
        <v>577.6011111</v>
      </c>
      <c r="L59" s="5"/>
    </row>
    <row r="60">
      <c r="A60" s="5"/>
      <c r="B60" s="5"/>
      <c r="C60" s="5"/>
      <c r="D60" s="5"/>
      <c r="E60" s="5"/>
      <c r="F60" s="5"/>
      <c r="G60" s="7"/>
      <c r="H60" s="7"/>
      <c r="I60" s="5"/>
      <c r="J60" s="5"/>
      <c r="K60" s="5"/>
      <c r="L60" s="5"/>
    </row>
    <row r="61">
      <c r="F61" s="8"/>
      <c r="G61" s="8"/>
      <c r="H61" s="8"/>
    </row>
    <row r="62">
      <c r="F62" s="8"/>
      <c r="G62" s="8"/>
      <c r="H62" s="8"/>
    </row>
    <row r="64">
      <c r="A64" s="9" t="s">
        <v>51</v>
      </c>
      <c r="B64" s="10"/>
      <c r="C64" s="10"/>
      <c r="D64" s="10"/>
      <c r="E64" s="10"/>
      <c r="F64" s="10"/>
      <c r="G64" s="10"/>
      <c r="H64" s="10"/>
      <c r="I64" s="10"/>
    </row>
    <row r="65">
      <c r="A65" s="10"/>
      <c r="B65" s="10"/>
      <c r="C65" s="10"/>
      <c r="D65" s="10"/>
      <c r="E65" s="10"/>
      <c r="F65" s="10"/>
      <c r="G65" s="10"/>
      <c r="H65" s="10"/>
      <c r="I65" s="10"/>
    </row>
    <row r="66">
      <c r="A66" s="9" t="s">
        <v>7</v>
      </c>
      <c r="B66" s="9" t="s">
        <v>8</v>
      </c>
      <c r="C66" s="9" t="s">
        <v>9</v>
      </c>
      <c r="D66" s="9" t="s">
        <v>10</v>
      </c>
      <c r="E66" s="9" t="s">
        <v>11</v>
      </c>
      <c r="F66" s="9" t="s">
        <v>12</v>
      </c>
      <c r="G66" s="9" t="s">
        <v>13</v>
      </c>
      <c r="H66" s="9"/>
      <c r="I66" s="9" t="s">
        <v>52</v>
      </c>
    </row>
    <row r="67">
      <c r="A67" s="9">
        <v>2.68</v>
      </c>
      <c r="B67" s="9"/>
      <c r="C67" s="9"/>
      <c r="D67" s="9"/>
      <c r="E67" s="9"/>
      <c r="F67" s="9"/>
      <c r="G67" s="9"/>
      <c r="H67" s="9"/>
      <c r="I67" s="9" t="s">
        <v>53</v>
      </c>
    </row>
    <row r="68">
      <c r="A68" s="9">
        <v>2.68</v>
      </c>
      <c r="B68" s="9"/>
      <c r="C68" s="9"/>
      <c r="D68" s="10"/>
      <c r="E68" s="10"/>
      <c r="F68" s="10"/>
      <c r="G68" s="10"/>
      <c r="H68" s="9"/>
      <c r="I68" s="9" t="s">
        <v>53</v>
      </c>
    </row>
    <row r="69">
      <c r="A69" s="9">
        <v>2.66</v>
      </c>
      <c r="B69" s="10">
        <f> (A67+A68+A69)/3</f>
        <v>2.673333333</v>
      </c>
      <c r="C69" s="9">
        <f> B69/5</f>
        <v>0.5346666667</v>
      </c>
      <c r="D69" s="10">
        <f> STDEV(A67:A69)</f>
        <v>0.01154700538</v>
      </c>
      <c r="E69" s="10">
        <f> D69/SQRT(3)</f>
        <v>0.006666666667</v>
      </c>
      <c r="F69" s="10">
        <f> SQRT(E69^2+0.01^2/12)</f>
        <v>0.007264831573</v>
      </c>
      <c r="G69" s="10">
        <f> F69/5</f>
        <v>0.001452966315</v>
      </c>
      <c r="H69" s="9"/>
      <c r="I69" s="9" t="s">
        <v>53</v>
      </c>
    </row>
    <row r="70">
      <c r="A70" s="9">
        <v>5.32</v>
      </c>
      <c r="B70" s="9"/>
      <c r="C70" s="9"/>
      <c r="D70" s="9"/>
      <c r="E70" s="9"/>
      <c r="F70" s="9"/>
      <c r="G70" s="10"/>
      <c r="H70" s="9"/>
      <c r="I70" s="9" t="s">
        <v>54</v>
      </c>
    </row>
    <row r="71">
      <c r="A71" s="9">
        <v>5.18</v>
      </c>
      <c r="B71" s="9"/>
      <c r="C71" s="9"/>
      <c r="D71" s="10"/>
      <c r="E71" s="10"/>
      <c r="F71" s="10"/>
      <c r="G71" s="10"/>
      <c r="H71" s="9"/>
      <c r="I71" s="9" t="s">
        <v>54</v>
      </c>
    </row>
    <row r="72">
      <c r="A72" s="9">
        <v>5.32</v>
      </c>
      <c r="B72" s="10">
        <f> (A70+A71+A72)/3</f>
        <v>5.273333333</v>
      </c>
      <c r="C72" s="9">
        <f> B72/5</f>
        <v>1.054666667</v>
      </c>
      <c r="D72" s="10">
        <f> STDEV(A70:A72)</f>
        <v>0.08082903769</v>
      </c>
      <c r="E72" s="10">
        <f> D72/SQRT(3)</f>
        <v>0.04666666667</v>
      </c>
      <c r="F72" s="10">
        <f> SQRT(E72^2+0.01^2/12)</f>
        <v>0.04675586713</v>
      </c>
      <c r="G72" s="10">
        <f> F72/5</f>
        <v>0.009351173426</v>
      </c>
      <c r="H72" s="9"/>
      <c r="I72" s="9" t="s">
        <v>54</v>
      </c>
    </row>
    <row r="73">
      <c r="A73" s="9">
        <v>3.85</v>
      </c>
      <c r="B73" s="9"/>
      <c r="C73" s="9"/>
      <c r="D73" s="9"/>
      <c r="E73" s="9"/>
      <c r="F73" s="9"/>
      <c r="G73" s="10"/>
      <c r="H73" s="9"/>
      <c r="I73" s="9" t="s">
        <v>55</v>
      </c>
    </row>
    <row r="74">
      <c r="A74" s="9">
        <v>3.85</v>
      </c>
      <c r="B74" s="9"/>
      <c r="C74" s="9"/>
      <c r="D74" s="10"/>
      <c r="E74" s="10"/>
      <c r="F74" s="10"/>
      <c r="G74" s="10"/>
      <c r="H74" s="9"/>
      <c r="I74" s="9" t="s">
        <v>55</v>
      </c>
    </row>
    <row r="75">
      <c r="A75" s="9">
        <v>3.94</v>
      </c>
      <c r="B75" s="10">
        <f> (A73+A74+A75)/3</f>
        <v>3.88</v>
      </c>
      <c r="C75" s="9">
        <f> B75/5</f>
        <v>0.776</v>
      </c>
      <c r="D75" s="10">
        <f> STDEV(A73:A75)</f>
        <v>0.05196152423</v>
      </c>
      <c r="E75" s="10">
        <f> D75/SQRT(3)</f>
        <v>0.03</v>
      </c>
      <c r="F75" s="10">
        <f> SQRT(E75^2+0.01^2/12)</f>
        <v>0.03013856887</v>
      </c>
      <c r="G75" s="10">
        <f> F75/5</f>
        <v>0.006027713773</v>
      </c>
      <c r="H75" s="9"/>
      <c r="I75" s="9" t="s">
        <v>55</v>
      </c>
    </row>
    <row r="76">
      <c r="A76" s="9">
        <v>7.53</v>
      </c>
      <c r="B76" s="9"/>
      <c r="C76" s="9"/>
      <c r="D76" s="9"/>
      <c r="E76" s="9"/>
      <c r="F76" s="9"/>
      <c r="G76" s="10"/>
      <c r="H76" s="9"/>
      <c r="I76" s="9" t="s">
        <v>56</v>
      </c>
    </row>
    <row r="77">
      <c r="A77" s="9">
        <v>7.47</v>
      </c>
      <c r="B77" s="9"/>
      <c r="C77" s="9"/>
      <c r="D77" s="10"/>
      <c r="E77" s="10"/>
      <c r="F77" s="10"/>
      <c r="G77" s="10"/>
      <c r="H77" s="9"/>
      <c r="I77" s="9" t="s">
        <v>56</v>
      </c>
    </row>
    <row r="78">
      <c r="A78" s="9">
        <v>7.28</v>
      </c>
      <c r="B78" s="10">
        <f> (A76+A77+A78)/3</f>
        <v>7.426666667</v>
      </c>
      <c r="C78" s="9">
        <f> B78/5</f>
        <v>1.485333333</v>
      </c>
      <c r="D78" s="10">
        <f> STDEV(A76:A78)</f>
        <v>0.130511813</v>
      </c>
      <c r="E78" s="10">
        <f> D78/SQRT(3)</f>
        <v>0.07535103037</v>
      </c>
      <c r="F78" s="10">
        <f> SQRT(E78^2+0.01^2/12)</f>
        <v>0.07540630684</v>
      </c>
      <c r="G78" s="10">
        <f> F78/5</f>
        <v>0.01508126137</v>
      </c>
      <c r="H78" s="9"/>
      <c r="I78" s="9" t="s">
        <v>56</v>
      </c>
    </row>
    <row r="79">
      <c r="A79" s="10"/>
      <c r="B79" s="10"/>
      <c r="C79" s="10"/>
      <c r="D79" s="9"/>
      <c r="E79" s="9"/>
      <c r="F79" s="9"/>
      <c r="G79" s="10"/>
      <c r="H79" s="10"/>
      <c r="I79" s="10"/>
    </row>
    <row r="80">
      <c r="D80" s="11"/>
      <c r="E80" s="11"/>
      <c r="F80" s="11"/>
      <c r="G80" s="11"/>
    </row>
    <row r="81">
      <c r="D81" s="11"/>
      <c r="E81" s="11"/>
      <c r="F81" s="11"/>
      <c r="G81" s="11"/>
    </row>
  </sheetData>
  <drawing r:id="rId1"/>
</worksheet>
</file>